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1-主控" sheetId="2" state="visible" r:id="rId2"/>
    <sheet name="2-灯光" sheetId="3" state="visible" r:id="rId3"/>
    <sheet name="3-LED大屏" sheetId="4" state="visible" r:id="rId4"/>
    <sheet name="4-音响" sheetId="5" state="visible" r:id="rId5"/>
    <sheet name="5-空调" sheetId="6" state="visible" r:id="rId6"/>
    <sheet name="6-网络" sheetId="7" state="visible" r:id="rId7"/>
    <sheet name="7-线缆" sheetId="8" state="visible" r:id="rId8"/>
    <sheet name="8-工具" sheetId="9" state="visible" r:id="rId9"/>
    <sheet name="9-灯具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1E40AF"/>
      <sz val="11"/>
    </font>
    <font>
      <name val="Arial"/>
      <sz val="10"/>
    </font>
    <font>
      <name val="Arial"/>
      <b val="1"/>
      <color rgb="00000000"/>
      <sz val="11"/>
    </font>
    <font>
      <name val="Arial"/>
      <b val="1"/>
      <color rgb="001E40AF"/>
      <sz val="12"/>
    </font>
    <font>
      <name val="Arial"/>
      <i val="1"/>
      <color rgb="0064748B"/>
      <sz val="11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color rgb="001E293B"/>
      <sz val="10"/>
    </font>
    <font>
      <name val="Arial"/>
      <color rgb="002563EB"/>
      <sz val="10"/>
      <u val="single"/>
    </font>
    <font>
      <name val="Arial"/>
      <i val="1"/>
      <color rgb="00B91C1C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8" customWidth="1" min="4" max="4"/>
    <col width="60" customWidth="1" min="5" max="5"/>
  </cols>
  <sheetData>
    <row r="1" ht="36" customHeight="1">
      <c r="A1" s="1" t="inlineStr">
        <is>
          <t>金湖展贸中心智能控制系统 · BOM 汇总</t>
        </is>
      </c>
    </row>
    <row r="2" ht="20" customHeight="1">
      <c r="A2" s="2" t="inlineStr">
        <is>
          <t>设备物料清单 总计 · 数据来源现场实测 · 更新日期 2026-05-21</t>
        </is>
      </c>
    </row>
    <row r="4" ht="28" customHeight="1">
      <c r="A4" s="3" t="inlineStr">
        <is>
          <t>#</t>
        </is>
      </c>
      <c r="B4" s="3" t="inlineStr">
        <is>
          <t>子系统</t>
        </is>
      </c>
      <c r="C4" s="3" t="inlineStr">
        <is>
          <t>Sheet 名</t>
        </is>
      </c>
      <c r="D4" s="3" t="inlineStr">
        <is>
          <t>小计 (¥)</t>
        </is>
      </c>
      <c r="E4" s="3" t="inlineStr">
        <is>
          <t>说明</t>
        </is>
      </c>
    </row>
    <row r="5">
      <c r="A5" s="4" t="n">
        <v>1</v>
      </c>
      <c r="B5" s="5" t="inlineStr">
        <is>
          <t>主控 (中控主机 + 平板)</t>
        </is>
      </c>
      <c r="C5" s="4" t="inlineStr">
        <is>
          <t>1-主控</t>
        </is>
      </c>
      <c r="D5" s="6">
        <f>'1-主控'!I10</f>
        <v/>
      </c>
      <c r="E5" s="5" t="inlineStr">
        <is>
          <t>占美 GK9000 + 2 台 1920×1200 平板</t>
        </is>
      </c>
    </row>
    <row r="6">
      <c r="A6" s="7" t="n">
        <v>2</v>
      </c>
      <c r="B6" s="8" t="inlineStr">
        <is>
          <t>DALI 灯光 (网关 + 13 台 HLG 电源 + 3 台 LT-84A)</t>
        </is>
      </c>
      <c r="C6" s="7" t="inlineStr">
        <is>
          <t>2-灯光</t>
        </is>
      </c>
      <c r="D6" s="9">
        <f>'2-灯光'!I27</f>
        <v/>
      </c>
      <c r="E6" s="8" t="inlineStr">
        <is>
          <t>19 路调光 · 25 个 DALI 地址 · CY-DALI64A 统管</t>
        </is>
      </c>
    </row>
    <row r="7">
      <c r="A7" s="4" t="n">
        <v>3</v>
      </c>
      <c r="B7" s="5" t="inlineStr">
        <is>
          <t>LED 大屏 (控制器 + 接收卡, 屏体单独估)</t>
        </is>
      </c>
      <c r="C7" s="4" t="inlineStr">
        <is>
          <t>3-LED大屏</t>
        </is>
      </c>
      <c r="D7" s="6">
        <f>'3-LED大屏'!I11</f>
        <v/>
      </c>
      <c r="E7" s="5" t="inlineStr">
        <is>
          <t>诺瓦 VX1000 + 100 张接收卡, 屏体待报价</t>
        </is>
      </c>
    </row>
    <row r="8">
      <c r="A8" s="7" t="n">
        <v>4</v>
      </c>
      <c r="B8" s="8" t="inlineStr">
        <is>
          <t>音响 (DSP + 功放 + 喇叭 + 麦克风)</t>
        </is>
      </c>
      <c r="C8" s="7" t="inlineStr">
        <is>
          <t>4-音响</t>
        </is>
      </c>
      <c r="D8" s="9">
        <f>'4-音响'!I14</f>
        <v/>
      </c>
      <c r="E8" s="8" t="inlineStr">
        <is>
          <t>DSPPA MAG6816 + 4 区 + 舒尔无线麦</t>
        </is>
      </c>
    </row>
    <row r="9">
      <c r="A9" s="4" t="n">
        <v>5</v>
      </c>
      <c r="B9" s="5" t="inlineStr">
        <is>
          <t>空调 (2 外机 + 网关 + 22 内机 + 22 线控)</t>
        </is>
      </c>
      <c r="C9" s="4" t="inlineStr">
        <is>
          <t>5-空调</t>
        </is>
      </c>
      <c r="D9" s="6">
        <f>'5-空调'!I36</f>
        <v/>
      </c>
      <c r="E9" s="5" t="inlineStr">
        <is>
          <t>奥克斯 ARV-X9 商用 VRF · 76.3kW 总容量</t>
        </is>
      </c>
    </row>
    <row r="10">
      <c r="A10" s="7" t="n">
        <v>6</v>
      </c>
      <c r="B10" s="8" t="inlineStr">
        <is>
          <t>网络 (交换机/路由器/AP/UPS/机柜)</t>
        </is>
      </c>
      <c r="C10" s="7" t="inlineStr">
        <is>
          <t>6-网络</t>
        </is>
      </c>
      <c r="D10" s="9">
        <f>'6-网络'!I17</f>
        <v/>
      </c>
      <c r="E10" s="8" t="inlineStr">
        <is>
          <t>H3C + TP-Link + 山特 UPS + 图腾机柜</t>
        </is>
      </c>
    </row>
    <row r="11">
      <c r="A11" s="4" t="n">
        <v>7</v>
      </c>
      <c r="B11" s="5" t="inlineStr">
        <is>
          <t>线缆耗材</t>
        </is>
      </c>
      <c r="C11" s="4" t="inlineStr">
        <is>
          <t>7-线缆</t>
        </is>
      </c>
      <c r="D11" s="6">
        <f>'7-线缆'!I22</f>
        <v/>
      </c>
      <c r="E11" s="5" t="inlineStr">
        <is>
          <t>网线/DALI/RS485/XYE/喇叭线/XLR 卡侬</t>
        </is>
      </c>
    </row>
    <row r="12">
      <c r="A12" s="7" t="n">
        <v>8</v>
      </c>
      <c r="B12" s="8" t="inlineStr">
        <is>
          <t>工具与调试</t>
        </is>
      </c>
      <c r="C12" s="7" t="inlineStr">
        <is>
          <t>8-工具</t>
        </is>
      </c>
      <c r="D12" s="9">
        <f>'8-工具'!I13</f>
        <v/>
      </c>
      <c r="E12" s="8" t="inlineStr">
        <is>
          <t>万用表/Modbus Poll/Wireshark/标签机</t>
        </is>
      </c>
    </row>
    <row r="13" ht="32" customHeight="1">
      <c r="A13" s="10" t="inlineStr">
        <is>
          <t>项目合计 (不含 LED 屏体)</t>
        </is>
      </c>
      <c r="B13" s="22" t="n"/>
      <c r="C13" s="23" t="n"/>
      <c r="D13" s="11">
        <f>SUM(D5:D12)</f>
        <v/>
      </c>
      <c r="E13" s="12" t="inlineStr">
        <is>
          <t>LED 屏体 + 灯具本体另行采购</t>
        </is>
      </c>
    </row>
    <row r="16">
      <c r="A16" s="13" t="inlineStr">
        <is>
          <t>■ 重要备注</t>
        </is>
      </c>
    </row>
    <row r="17" ht="22" customHeight="1">
      <c r="A17" s="14" t="inlineStr">
        <is>
          <t>1. LED 大屏屏体 (接收卡 + LED 模组) 按面积单独询价, 一般占整体预算 30-50%, 表中按 100 张接收卡示意.</t>
        </is>
      </c>
    </row>
    <row r="18" ht="22" customHeight="1">
      <c r="A18" s="14" t="inlineStr">
        <is>
          <t>2. 灯具本体 (筒灯/射灯/吸顶灯/灯带) 由土建/装修预算覆盖, 此 BOM 仅含智能化控制部分.</t>
        </is>
      </c>
    </row>
    <row r="19" ht="22" customHeight="1">
      <c r="A19" s="14" t="inlineStr">
        <is>
          <t>3. 灯具采购**必须要求 0-10V 调光款** (筒灯/射灯/吸顶灯), 单价比普通款 +10-15%.</t>
        </is>
      </c>
    </row>
    <row r="20" ht="22" customHeight="1">
      <c r="A20" s="14" t="inlineStr">
        <is>
          <t>4. 灯带按 DC 24V / 10W/m 主流款采购.</t>
        </is>
      </c>
    </row>
    <row r="21" ht="22" customHeight="1">
      <c r="A21" s="14" t="inlineStr">
        <is>
          <t>5. 空调外机 + 内机 + 网关必须**同品牌** (奥克斯), 不能跨厂混搭.</t>
        </is>
      </c>
    </row>
    <row r="22" ht="22" customHeight="1">
      <c r="A22" s="14" t="inlineStr">
        <is>
          <t>6. LED 发送卡 (VX1000) + 接收卡必须**同品牌** (诺瓦), LED 模组任意 (HUB75 通用).</t>
        </is>
      </c>
    </row>
    <row r="23" ht="22" customHeight="1">
      <c r="A23" s="14" t="inlineStr">
        <is>
          <t>7. 数量"1"配"按面积/按数量"备注的项, 单价默认 1 个单元 (m²/台/张), 实际下单按规模乘.</t>
        </is>
      </c>
    </row>
    <row r="24" ht="22" customHeight="1">
      <c r="A24" s="14" t="inlineStr">
        <is>
          <t>8. 单价为渠道参考价, 批量采购可低 10-20%.</t>
        </is>
      </c>
    </row>
    <row r="25" ht="22" customHeight="1">
      <c r="A25" s="14" t="inlineStr">
        <is>
          <t>9. 待厂家最终确认: VX1000 vs V2460 (LED) · CCM-270B 是否兼容 ARV-X9 (空调).</t>
        </is>
      </c>
    </row>
    <row r="28">
      <c r="A28" s="13" t="inlineStr">
        <is>
          <t>■ 关联文档 (https://cnjinhu.top/jinhu/docs/)</t>
        </is>
      </c>
    </row>
    <row r="29">
      <c r="A29" s="15" t="inlineStr">
        <is>
          <t>设备总清单 (本表 .md 版本)</t>
        </is>
      </c>
      <c r="B29" s="16" t="inlineStr">
        <is>
          <t>https://cnjinhu.top/jinhu/docs/#EQUIPMENT_LIST</t>
        </is>
      </c>
    </row>
    <row r="30">
      <c r="A30" s="15" t="inlineStr">
        <is>
          <t>灯光最终选型 (含 DALI 寻址表)</t>
        </is>
      </c>
      <c r="B30" s="16" t="inlineStr">
        <is>
          <t>https://cnjinhu.top/jinhu/docs/#LIGHTING_FINAL_SELECTION</t>
        </is>
      </c>
    </row>
    <row r="31">
      <c r="A31" s="15" t="inlineStr">
        <is>
          <t>驱动模块明细 (功率/余量)</t>
        </is>
      </c>
      <c r="B31" s="16" t="inlineStr">
        <is>
          <t>https://cnjinhu.top/jinhu/docs/#LIGHTING_DRIVER_DETAILS</t>
        </is>
      </c>
    </row>
    <row r="32">
      <c r="A32" s="15" t="inlineStr">
        <is>
          <t>空调功能区 (场景配置)</t>
        </is>
      </c>
      <c r="B32" s="16" t="inlineStr">
        <is>
          <t>https://cnjinhu.top/jinhu/docs/#HVAC_ZONES</t>
        </is>
      </c>
    </row>
    <row r="33">
      <c r="A33" s="15" t="inlineStr">
        <is>
          <t>DALI 现场施工 SOP</t>
        </is>
      </c>
      <c r="B33" s="16" t="inlineStr">
        <is>
          <t>https://cnjinhu.top/jinhu/docs/#DALI_FIELD_INSTALL</t>
        </is>
      </c>
    </row>
    <row r="34">
      <c r="A34" s="15" t="inlineStr">
        <is>
          <t>空调现场施工 SOP</t>
        </is>
      </c>
      <c r="B34" s="16" t="inlineStr">
        <is>
          <t>https://cnjinhu.top/jinhu/docs/#HVAC_FIELD_INSTALL</t>
        </is>
      </c>
    </row>
    <row r="35">
      <c r="A35" s="15" t="inlineStr">
        <is>
          <t>音响现场施工 SOP</t>
        </is>
      </c>
      <c r="B35" s="16" t="inlineStr">
        <is>
          <t>https://cnjinhu.top/jinhu/docs/#AUDIO_FIELD_INSTALL</t>
        </is>
      </c>
    </row>
    <row r="36">
      <c r="A36" s="15" t="inlineStr">
        <is>
          <t>无线网络方案</t>
        </is>
      </c>
      <c r="B36" s="16" t="inlineStr">
        <is>
          <t>https://cnjinhu.top/jinhu/docs/#WIRELESS_NETWORK</t>
        </is>
      </c>
    </row>
  </sheetData>
  <mergeCells count="22">
    <mergeCell ref="A24:E24"/>
    <mergeCell ref="B30:E30"/>
    <mergeCell ref="B33:E33"/>
    <mergeCell ref="A1:E1"/>
    <mergeCell ref="B36:E36"/>
    <mergeCell ref="B32:E32"/>
    <mergeCell ref="B35:E35"/>
    <mergeCell ref="A16:E16"/>
    <mergeCell ref="A25:E25"/>
    <mergeCell ref="A18:E18"/>
    <mergeCell ref="A21:E21"/>
    <mergeCell ref="B31:E31"/>
    <mergeCell ref="A13:C13"/>
    <mergeCell ref="A2:E2"/>
    <mergeCell ref="A23:E23"/>
    <mergeCell ref="A22:E22"/>
    <mergeCell ref="A17:E17"/>
    <mergeCell ref="A20:E20"/>
    <mergeCell ref="A28:E28"/>
    <mergeCell ref="A19:E19"/>
    <mergeCell ref="B29:E29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1. 主控设备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1.1 中控主机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HOST-1</t>
        </is>
      </c>
      <c r="B6" s="7" t="inlineStr">
        <is>
          <t>主控</t>
        </is>
      </c>
      <c r="C6" s="8" t="inlineStr">
        <is>
          <t>工控机 (中控主机)</t>
        </is>
      </c>
      <c r="D6" s="7" t="inlineStr">
        <is>
          <t>占美</t>
        </is>
      </c>
      <c r="E6" s="7" t="inlineStr">
        <is>
          <t>GIADA</t>
        </is>
      </c>
      <c r="F6" s="8" t="inlineStr">
        <is>
          <t>GK9000</t>
        </is>
      </c>
      <c r="G6" s="7" t="n">
        <v>1</v>
      </c>
      <c r="H6" s="9" t="n">
        <v>7000</v>
      </c>
      <c r="I6" s="9">
        <f>G6*H6</f>
        <v/>
      </c>
      <c r="J6" s="8" t="inlineStr">
        <is>
          <t>i7-10750H · 16GB · 1TB SSD · 6×COM · 2×RJ45 · Win10 Pro</t>
        </is>
      </c>
      <c r="K6" s="8" t="inlineStr">
        <is>
          <t>1F 弱电机柜</t>
        </is>
      </c>
    </row>
    <row r="7">
      <c r="A7" s="18" t="inlineStr">
        <is>
          <t>1.2 控制平板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3" t="n"/>
    </row>
    <row r="8">
      <c r="A8" s="7" t="inlineStr">
        <is>
          <t>TABLET-1F</t>
        </is>
      </c>
      <c r="B8" s="7" t="inlineStr">
        <is>
          <t>主控</t>
        </is>
      </c>
      <c r="C8" s="8" t="inlineStr">
        <is>
          <t>控制平板 (1F 主控台)</t>
        </is>
      </c>
      <c r="D8" s="7" t="inlineStr">
        <is>
          <t>任意 (推荐联想/华为/三星)</t>
        </is>
      </c>
      <c r="E8" s="7" t="inlineStr">
        <is>
          <t>—</t>
        </is>
      </c>
      <c r="F8" s="8" t="inlineStr">
        <is>
          <t>安卓 1920×1200 或 iPad</t>
        </is>
      </c>
      <c r="G8" s="7" t="n">
        <v>1</v>
      </c>
      <c r="H8" s="9" t="n">
        <v>2500</v>
      </c>
      <c r="I8" s="9">
        <f>G8*H8</f>
        <v/>
      </c>
      <c r="J8" s="8" t="inlineStr">
        <is>
          <t>10.5+ 寸 · WiFi · PWA 添加到主屏</t>
        </is>
      </c>
      <c r="K8" s="8" t="inlineStr">
        <is>
          <t>1F 前厅控制台</t>
        </is>
      </c>
    </row>
    <row r="9">
      <c r="A9" s="7" t="inlineStr">
        <is>
          <t>TABLET-2F</t>
        </is>
      </c>
      <c r="B9" s="7" t="inlineStr">
        <is>
          <t>主控</t>
        </is>
      </c>
      <c r="C9" s="8" t="inlineStr">
        <is>
          <t>控制平板 (2F 副控台, 可选)</t>
        </is>
      </c>
      <c r="D9" s="7" t="inlineStr">
        <is>
          <t>任意</t>
        </is>
      </c>
      <c r="E9" s="7" t="inlineStr">
        <is>
          <t>—</t>
        </is>
      </c>
      <c r="F9" s="8" t="inlineStr">
        <is>
          <t>同上</t>
        </is>
      </c>
      <c r="G9" s="7" t="n">
        <v>1</v>
      </c>
      <c r="H9" s="9" t="n">
        <v>2500</v>
      </c>
      <c r="I9" s="9">
        <f>G9*H9</f>
        <v/>
      </c>
      <c r="J9" s="8" t="inlineStr">
        <is>
          <t>可选, 2F 服务台用</t>
        </is>
      </c>
      <c r="K9" s="8" t="inlineStr">
        <is>
          <t>2F 服务台</t>
        </is>
      </c>
    </row>
    <row r="10" ht="24" customHeight="1">
      <c r="A10" s="19" t="inlineStr">
        <is>
          <t>本表合计</t>
        </is>
      </c>
      <c r="B10" s="22" t="n"/>
      <c r="C10" s="22" t="n"/>
      <c r="D10" s="22" t="n"/>
      <c r="E10" s="22" t="n"/>
      <c r="F10" s="22" t="n"/>
      <c r="G10" s="22" t="n"/>
      <c r="H10" s="23" t="n"/>
      <c r="I10" s="20">
        <f>SUM(I5:I9)</f>
        <v/>
      </c>
      <c r="J10" s="21" t="n"/>
      <c r="K10" s="21" t="n"/>
    </row>
  </sheetData>
  <mergeCells count="5">
    <mergeCell ref="A7:K7"/>
    <mergeCell ref="A10:H10"/>
    <mergeCell ref="A2:K2"/>
    <mergeCell ref="A5:K5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2. DALI 灯光子系统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2.1 网关与协议转换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CONV-RTU-1</t>
        </is>
      </c>
      <c r="B6" s="7" t="inlineStr">
        <is>
          <t>灯光</t>
        </is>
      </c>
      <c r="C6" s="8" t="inlineStr">
        <is>
          <t>RS485↔TCP 协议转换器</t>
        </is>
      </c>
      <c r="D6" s="7" t="inlineStr">
        <is>
          <t>有人物联网</t>
        </is>
      </c>
      <c r="E6" s="7" t="inlineStr">
        <is>
          <t>USR IoT</t>
        </is>
      </c>
      <c r="F6" s="8" t="inlineStr">
        <is>
          <t>USR-TCP232-410S</t>
        </is>
      </c>
      <c r="G6" s="7" t="n">
        <v>1</v>
      </c>
      <c r="H6" s="9" t="n">
        <v>150</v>
      </c>
      <c r="I6" s="9">
        <f>G6*H6</f>
        <v/>
      </c>
      <c r="J6" s="8" t="inlineStr">
        <is>
          <t>DC 12V · 1×RS485 · 1×RJ45</t>
        </is>
      </c>
      <c r="K6" s="8" t="inlineStr">
        <is>
          <t>1F 弱电机柜</t>
        </is>
      </c>
    </row>
    <row r="7">
      <c r="A7" s="7" t="inlineStr">
        <is>
          <t>GW-DALI-1</t>
        </is>
      </c>
      <c r="B7" s="7" t="inlineStr">
        <is>
          <t>灯光</t>
        </is>
      </c>
      <c r="C7" s="8" t="inlineStr">
        <is>
          <t>DALI 控制网关</t>
        </is>
      </c>
      <c r="D7" s="7" t="inlineStr">
        <is>
          <t>元创智控</t>
        </is>
      </c>
      <c r="E7" s="7" t="inlineStr">
        <is>
          <t>—</t>
        </is>
      </c>
      <c r="F7" s="8" t="inlineStr">
        <is>
          <t>CY-DALI64A</t>
        </is>
      </c>
      <c r="G7" s="7" t="n">
        <v>1</v>
      </c>
      <c r="H7" s="9" t="n">
        <v>1000</v>
      </c>
      <c r="I7" s="9">
        <f>G7*H7</f>
        <v/>
      </c>
      <c r="J7" s="8" t="inlineStr">
        <is>
          <t>单路 DALI 64 地址 · Modbus RTU · DIN 35mm</t>
        </is>
      </c>
      <c r="K7" s="8" t="inlineStr">
        <is>
          <t>1F 弱电机柜</t>
        </is>
      </c>
    </row>
    <row r="8">
      <c r="A8" s="18" t="inlineStr">
        <is>
          <t>2.2 LED 灯带 DALI 恒压电源 (DC 24V, MEANWELL 明纬)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3" t="n"/>
    </row>
    <row r="9">
      <c r="A9" s="7" t="inlineStr">
        <is>
          <t>DRV-HLG-1</t>
        </is>
      </c>
      <c r="B9" s="7" t="inlineStr">
        <is>
          <t>灯光</t>
        </is>
      </c>
      <c r="C9" s="8" t="inlineStr">
        <is>
          <t>LED 大功率电源 480W (前厅灯带)</t>
        </is>
      </c>
      <c r="D9" s="7" t="inlineStr">
        <is>
          <t>明纬</t>
        </is>
      </c>
      <c r="E9" s="7" t="inlineStr">
        <is>
          <t>MEANWELL</t>
        </is>
      </c>
      <c r="F9" s="8" t="inlineStr">
        <is>
          <t>HLG-480H-24DA</t>
        </is>
      </c>
      <c r="G9" s="7" t="n">
        <v>1</v>
      </c>
      <c r="H9" s="9" t="n">
        <v>400</v>
      </c>
      <c r="I9" s="9">
        <f>G9*H9</f>
        <v/>
      </c>
      <c r="J9" s="8" t="inlineStr">
        <is>
          <t>480W @ DC 24V/20A · DALI 2.0 · IP67 · 5 年保</t>
        </is>
      </c>
      <c r="K9" s="8" t="inlineStr">
        <is>
          <t>1F 公共电箱 F101</t>
        </is>
      </c>
    </row>
    <row r="10">
      <c r="A10" s="7" t="inlineStr">
        <is>
          <t>DRV-HLG-2</t>
        </is>
      </c>
      <c r="B10" s="7" t="inlineStr">
        <is>
          <t>灯光</t>
        </is>
      </c>
      <c r="C10" s="8" t="inlineStr">
        <is>
          <t>LED 大功率电源 185W (重点灯带)</t>
        </is>
      </c>
      <c r="D10" s="7" t="inlineStr">
        <is>
          <t>明纬</t>
        </is>
      </c>
      <c r="E10" s="7" t="inlineStr">
        <is>
          <t>MEANWELL</t>
        </is>
      </c>
      <c r="F10" s="8" t="inlineStr">
        <is>
          <t>HLG-185H-24DA</t>
        </is>
      </c>
      <c r="G10" s="7" t="n">
        <v>1</v>
      </c>
      <c r="H10" s="9" t="n">
        <v>280</v>
      </c>
      <c r="I10" s="9">
        <f>G10*H10</f>
        <v/>
      </c>
      <c r="J10" s="8" t="inlineStr">
        <is>
          <t>187W @ DC 24V/7.8A · DALI 2.0 · IP67</t>
        </is>
      </c>
      <c r="K10" s="8" t="inlineStr">
        <is>
          <t>1F 公共电箱 F101</t>
        </is>
      </c>
    </row>
    <row r="11">
      <c r="A11" s="7" t="inlineStr">
        <is>
          <t>DRV-HLG-3</t>
        </is>
      </c>
      <c r="B11" s="7" t="inlineStr">
        <is>
          <t>灯光</t>
        </is>
      </c>
      <c r="C11" s="8" t="inlineStr">
        <is>
          <t>LED 大功率电源 150W (园区灯带)</t>
        </is>
      </c>
      <c r="D11" s="7" t="inlineStr">
        <is>
          <t>明纬</t>
        </is>
      </c>
      <c r="E11" s="7" t="inlineStr">
        <is>
          <t>MEANWELL</t>
        </is>
      </c>
      <c r="F11" s="8" t="inlineStr">
        <is>
          <t>HLG-150H-24DA</t>
        </is>
      </c>
      <c r="G11" s="7" t="n">
        <v>1</v>
      </c>
      <c r="H11" s="9" t="n">
        <v>270</v>
      </c>
      <c r="I11" s="9">
        <f>G11*H11</f>
        <v/>
      </c>
      <c r="J11" s="8" t="inlineStr">
        <is>
          <t>150W @ DC 24V/6.25A · DALI 2.0 · IP67</t>
        </is>
      </c>
      <c r="K11" s="8" t="inlineStr">
        <is>
          <t>1F 公共电箱 F101</t>
        </is>
      </c>
    </row>
    <row r="12">
      <c r="A12" s="7" t="inlineStr">
        <is>
          <t>DRV-HLG-4</t>
        </is>
      </c>
      <c r="B12" s="7" t="inlineStr">
        <is>
          <t>灯光</t>
        </is>
      </c>
      <c r="C12" s="8" t="inlineStr">
        <is>
          <t>LED 大功率电源 480W (走廊灯带#1, 头段)</t>
        </is>
      </c>
      <c r="D12" s="7" t="inlineStr">
        <is>
          <t>明纬</t>
        </is>
      </c>
      <c r="E12" s="7" t="inlineStr">
        <is>
          <t>MEANWELL</t>
        </is>
      </c>
      <c r="F12" s="8" t="inlineStr">
        <is>
          <t>HLG-480H-24DA</t>
        </is>
      </c>
      <c r="G12" s="7" t="n">
        <v>1</v>
      </c>
      <c r="H12" s="9" t="n">
        <v>400</v>
      </c>
      <c r="I12" s="9">
        <f>G12*H12</f>
        <v/>
      </c>
      <c r="J12" s="8" t="inlineStr">
        <is>
          <t>走廊 130m 灯带 3 台并联中段注入</t>
        </is>
      </c>
      <c r="K12" s="8" t="inlineStr">
        <is>
          <t>1F 公共电箱 F101</t>
        </is>
      </c>
    </row>
    <row r="13">
      <c r="A13" s="7" t="inlineStr">
        <is>
          <t>DRV-HLG-5</t>
        </is>
      </c>
      <c r="B13" s="7" t="inlineStr">
        <is>
          <t>灯光</t>
        </is>
      </c>
      <c r="C13" s="8" t="inlineStr">
        <is>
          <t>LED 大功率电源 480W (走廊灯带#2, 中段)</t>
        </is>
      </c>
      <c r="D13" s="7" t="inlineStr">
        <is>
          <t>明纬</t>
        </is>
      </c>
      <c r="E13" s="7" t="inlineStr">
        <is>
          <t>MEANWELL</t>
        </is>
      </c>
      <c r="F13" s="8" t="inlineStr">
        <is>
          <t>HLG-480H-24DA</t>
        </is>
      </c>
      <c r="G13" s="7" t="n">
        <v>1</v>
      </c>
      <c r="H13" s="9" t="n">
        <v>400</v>
      </c>
      <c r="I13" s="9">
        <f>G13*H13</f>
        <v/>
      </c>
      <c r="J13" s="8" t="inlineStr">
        <is>
          <t>走廊中段 65m 处注入</t>
        </is>
      </c>
      <c r="K13" s="8" t="inlineStr">
        <is>
          <t>1F 走廊中段电箱</t>
        </is>
      </c>
    </row>
    <row r="14">
      <c r="A14" s="7" t="inlineStr">
        <is>
          <t>DRV-HLG-6</t>
        </is>
      </c>
      <c r="B14" s="7" t="inlineStr">
        <is>
          <t>灯光</t>
        </is>
      </c>
      <c r="C14" s="8" t="inlineStr">
        <is>
          <t>LED 大功率电源 480W (走廊灯带#3, 尾段)</t>
        </is>
      </c>
      <c r="D14" s="7" t="inlineStr">
        <is>
          <t>明纬</t>
        </is>
      </c>
      <c r="E14" s="7" t="inlineStr">
        <is>
          <t>MEANWELL</t>
        </is>
      </c>
      <c r="F14" s="8" t="inlineStr">
        <is>
          <t>HLG-480H-24DA</t>
        </is>
      </c>
      <c r="G14" s="7" t="n">
        <v>1</v>
      </c>
      <c r="H14" s="9" t="n">
        <v>400</v>
      </c>
      <c r="I14" s="9">
        <f>G14*H14</f>
        <v/>
      </c>
      <c r="J14" s="8" t="inlineStr">
        <is>
          <t>走廊尾段注入</t>
        </is>
      </c>
      <c r="K14" s="8" t="inlineStr">
        <is>
          <t>1F 走廊尾端电箱</t>
        </is>
      </c>
    </row>
    <row r="15">
      <c r="A15" s="7" t="inlineStr">
        <is>
          <t>DRV-HLG-7</t>
        </is>
      </c>
      <c r="B15" s="7" t="inlineStr">
        <is>
          <t>灯光</t>
        </is>
      </c>
      <c r="C15" s="8" t="inlineStr">
        <is>
          <t>LED 大功率电源 480W (R7 灯带#1)</t>
        </is>
      </c>
      <c r="D15" s="7" t="inlineStr">
        <is>
          <t>明纬</t>
        </is>
      </c>
      <c r="E15" s="7" t="inlineStr">
        <is>
          <t>MEANWELL</t>
        </is>
      </c>
      <c r="F15" s="8" t="inlineStr">
        <is>
          <t>HLG-480H-24DA</t>
        </is>
      </c>
      <c r="G15" s="7" t="n">
        <v>1</v>
      </c>
      <c r="H15" s="9" t="n">
        <v>400</v>
      </c>
      <c r="I15" s="9">
        <f>G15*H15</f>
        <v/>
      </c>
      <c r="J15" s="8" t="inlineStr">
        <is>
          <t>重点照明灯带 80m / 800W 拆 2 台并联</t>
        </is>
      </c>
      <c r="K15" s="8" t="inlineStr">
        <is>
          <t>1F 公共电箱 F101</t>
        </is>
      </c>
    </row>
    <row r="16">
      <c r="A16" s="7" t="inlineStr">
        <is>
          <t>DRV-HLG-8</t>
        </is>
      </c>
      <c r="B16" s="7" t="inlineStr">
        <is>
          <t>灯光</t>
        </is>
      </c>
      <c r="C16" s="8" t="inlineStr">
        <is>
          <t>LED 大功率电源 480W (R7 灯带#2)</t>
        </is>
      </c>
      <c r="D16" s="7" t="inlineStr">
        <is>
          <t>明纬</t>
        </is>
      </c>
      <c r="E16" s="7" t="inlineStr">
        <is>
          <t>MEANWELL</t>
        </is>
      </c>
      <c r="F16" s="8" t="inlineStr">
        <is>
          <t>HLG-480H-24DA</t>
        </is>
      </c>
      <c r="G16" s="7" t="n">
        <v>1</v>
      </c>
      <c r="H16" s="9" t="n">
        <v>400</v>
      </c>
      <c r="I16" s="9">
        <f>G16*H16</f>
        <v/>
      </c>
      <c r="J16" s="8" t="inlineStr">
        <is>
          <t>同上 #2</t>
        </is>
      </c>
      <c r="K16" s="8" t="inlineStr">
        <is>
          <t>1F 公共电箱 F101</t>
        </is>
      </c>
    </row>
    <row r="17">
      <c r="A17" s="7" t="inlineStr">
        <is>
          <t>DRV-HLG-9</t>
        </is>
      </c>
      <c r="B17" s="7" t="inlineStr">
        <is>
          <t>灯光</t>
        </is>
      </c>
      <c r="C17" s="8" t="inlineStr">
        <is>
          <t>LED 大功率电源 240W (F102 灯带)</t>
        </is>
      </c>
      <c r="D17" s="7" t="inlineStr">
        <is>
          <t>明纬</t>
        </is>
      </c>
      <c r="E17" s="7" t="inlineStr">
        <is>
          <t>MEANWELL</t>
        </is>
      </c>
      <c r="F17" s="8" t="inlineStr">
        <is>
          <t>HLG-240H-24DA</t>
        </is>
      </c>
      <c r="G17" s="7" t="n">
        <v>1</v>
      </c>
      <c r="H17" s="9" t="n">
        <v>320</v>
      </c>
      <c r="I17" s="9">
        <f>G17*H17</f>
        <v/>
      </c>
      <c r="J17" s="8" t="inlineStr">
        <is>
          <t>240W @ DC 24V/10A · 企业展位灯带 20m</t>
        </is>
      </c>
      <c r="K17" s="8" t="inlineStr">
        <is>
          <t>1F 企业展位区电箱 F102</t>
        </is>
      </c>
    </row>
    <row r="18">
      <c r="A18" s="7" t="inlineStr">
        <is>
          <t>DRV-HLG-10</t>
        </is>
      </c>
      <c r="B18" s="7" t="inlineStr">
        <is>
          <t>灯光</t>
        </is>
      </c>
      <c r="C18" s="8" t="inlineStr">
        <is>
          <t>LED 大功率电源 240W (F104 灯带)</t>
        </is>
      </c>
      <c r="D18" s="7" t="inlineStr">
        <is>
          <t>明纬</t>
        </is>
      </c>
      <c r="E18" s="7" t="inlineStr">
        <is>
          <t>MEANWELL</t>
        </is>
      </c>
      <c r="F18" s="8" t="inlineStr">
        <is>
          <t>HLG-240H-24DA</t>
        </is>
      </c>
      <c r="G18" s="7" t="n">
        <v>1</v>
      </c>
      <c r="H18" s="9" t="n">
        <v>320</v>
      </c>
      <c r="I18" s="9">
        <f>G18*H18</f>
        <v/>
      </c>
      <c r="J18" s="8" t="inlineStr">
        <is>
          <t>物贸交易展示区灯带 20m</t>
        </is>
      </c>
      <c r="K18" s="8" t="inlineStr">
        <is>
          <t>1F 物贸交易电箱 F104</t>
        </is>
      </c>
    </row>
    <row r="19">
      <c r="A19" s="7" t="inlineStr">
        <is>
          <t>DRV-HLG-11</t>
        </is>
      </c>
      <c r="B19" s="7" t="inlineStr">
        <is>
          <t>灯光</t>
        </is>
      </c>
      <c r="C19" s="8" t="inlineStr">
        <is>
          <t>LED 大功率电源 480W (2F 走廊#1)</t>
        </is>
      </c>
      <c r="D19" s="7" t="inlineStr">
        <is>
          <t>明纬</t>
        </is>
      </c>
      <c r="E19" s="7" t="inlineStr">
        <is>
          <t>MEANWELL</t>
        </is>
      </c>
      <c r="F19" s="8" t="inlineStr">
        <is>
          <t>HLG-480H-24DA</t>
        </is>
      </c>
      <c r="G19" s="7" t="n">
        <v>1</v>
      </c>
      <c r="H19" s="9" t="n">
        <v>400</v>
      </c>
      <c r="I19" s="9">
        <f>G19*H19</f>
        <v/>
      </c>
      <c r="J19" s="8" t="inlineStr">
        <is>
          <t>2F 走廊灯带 85m / 900W 拆 2 台并联</t>
        </is>
      </c>
      <c r="K19" s="8" t="inlineStr">
        <is>
          <t>2F 公共电箱 F201</t>
        </is>
      </c>
    </row>
    <row r="20">
      <c r="A20" s="7" t="inlineStr">
        <is>
          <t>DRV-HLG-12</t>
        </is>
      </c>
      <c r="B20" s="7" t="inlineStr">
        <is>
          <t>灯光</t>
        </is>
      </c>
      <c r="C20" s="8" t="inlineStr">
        <is>
          <t>LED 大功率电源 480W (2F 走廊#2)</t>
        </is>
      </c>
      <c r="D20" s="7" t="inlineStr">
        <is>
          <t>明纬</t>
        </is>
      </c>
      <c r="E20" s="7" t="inlineStr">
        <is>
          <t>MEANWELL</t>
        </is>
      </c>
      <c r="F20" s="8" t="inlineStr">
        <is>
          <t>HLG-480H-24DA</t>
        </is>
      </c>
      <c r="G20" s="7" t="n">
        <v>1</v>
      </c>
      <c r="H20" s="9" t="n">
        <v>400</v>
      </c>
      <c r="I20" s="9">
        <f>G20*H20</f>
        <v/>
      </c>
      <c r="J20" s="8" t="inlineStr">
        <is>
          <t>同上 #2</t>
        </is>
      </c>
      <c r="K20" s="8" t="inlineStr">
        <is>
          <t>2F 公共电箱 F201</t>
        </is>
      </c>
    </row>
    <row r="21">
      <c r="A21" s="7" t="inlineStr">
        <is>
          <t>DRV-HLG-13a</t>
        </is>
      </c>
      <c r="B21" s="7" t="inlineStr">
        <is>
          <t>灯光</t>
        </is>
      </c>
      <c r="C21" s="8" t="inlineStr">
        <is>
          <t>LED 大功率电源 320W (灯箱#1)</t>
        </is>
      </c>
      <c r="D21" s="7" t="inlineStr">
        <is>
          <t>明纬</t>
        </is>
      </c>
      <c r="E21" s="7" t="inlineStr">
        <is>
          <t>MEANWELL</t>
        </is>
      </c>
      <c r="F21" s="8" t="inlineStr">
        <is>
          <t>HLG-320H-24DA</t>
        </is>
      </c>
      <c r="G21" s="7" t="n">
        <v>1</v>
      </c>
      <c r="H21" s="9" t="n">
        <v>450</v>
      </c>
      <c r="I21" s="9">
        <f>G21*H21</f>
        <v/>
      </c>
      <c r="J21" s="8" t="inlineStr">
        <is>
          <t>灯箱 12㎡ / 600W 拆 2 台并联</t>
        </is>
      </c>
      <c r="K21" s="8" t="inlineStr">
        <is>
          <t>1F 公共电箱 F101</t>
        </is>
      </c>
    </row>
    <row r="22">
      <c r="A22" s="7" t="inlineStr">
        <is>
          <t>DRV-HLG-13b</t>
        </is>
      </c>
      <c r="B22" s="7" t="inlineStr">
        <is>
          <t>灯光</t>
        </is>
      </c>
      <c r="C22" s="8" t="inlineStr">
        <is>
          <t>LED 大功率电源 320W (灯箱#2)</t>
        </is>
      </c>
      <c r="D22" s="7" t="inlineStr">
        <is>
          <t>明纬</t>
        </is>
      </c>
      <c r="E22" s="7" t="inlineStr">
        <is>
          <t>MEANWELL</t>
        </is>
      </c>
      <c r="F22" s="8" t="inlineStr">
        <is>
          <t>HLG-320H-24DA</t>
        </is>
      </c>
      <c r="G22" s="7" t="n">
        <v>1</v>
      </c>
      <c r="H22" s="9" t="n">
        <v>450</v>
      </c>
      <c r="I22" s="9">
        <f>G22*H22</f>
        <v/>
      </c>
      <c r="J22" s="8" t="inlineStr">
        <is>
          <t>同上 #2</t>
        </is>
      </c>
      <c r="K22" s="8" t="inlineStr">
        <is>
          <t>1F 公共电箱 F101</t>
        </is>
      </c>
    </row>
    <row r="23">
      <c r="A23" s="18" t="inlineStr">
        <is>
          <t>2.3 灯具 0-10V 调光转换器 (DALI 转 0-10V, LTECH 雷特)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3" t="n"/>
    </row>
    <row r="24">
      <c r="A24" s="7" t="inlineStr">
        <is>
          <t>CONV-LT-1</t>
        </is>
      </c>
      <c r="B24" s="7" t="inlineStr">
        <is>
          <t>灯光</t>
        </is>
      </c>
      <c r="C24" s="8" t="inlineStr">
        <is>
          <t>DALI 转 0-10V 信号转换器 #1</t>
        </is>
      </c>
      <c r="D24" s="7" t="inlineStr">
        <is>
          <t>雷特科技</t>
        </is>
      </c>
      <c r="E24" s="7" t="inlineStr">
        <is>
          <t>LTECH</t>
        </is>
      </c>
      <c r="F24" s="8" t="inlineStr">
        <is>
          <t>LT-84A</t>
        </is>
      </c>
      <c r="G24" s="7" t="n">
        <v>1</v>
      </c>
      <c r="H24" s="9" t="n">
        <v>600</v>
      </c>
      <c r="I24" s="9">
        <f>G24*H24</f>
        <v/>
      </c>
      <c r="J24" s="8" t="inlineStr">
        <is>
          <t>4 路 0-10V · AC 220V · 5 年保 · 三合一输入</t>
        </is>
      </c>
      <c r="K24" s="8" t="inlineStr">
        <is>
          <t>1F 公共电箱 F101</t>
        </is>
      </c>
    </row>
    <row r="25">
      <c r="A25" s="7" t="inlineStr">
        <is>
          <t>CONV-LT-2</t>
        </is>
      </c>
      <c r="B25" s="7" t="inlineStr">
        <is>
          <t>灯光</t>
        </is>
      </c>
      <c r="C25" s="8" t="inlineStr">
        <is>
          <t>DALI 转 0-10V 信号转换器 #2</t>
        </is>
      </c>
      <c r="D25" s="7" t="inlineStr">
        <is>
          <t>雷特科技</t>
        </is>
      </c>
      <c r="E25" s="7" t="inlineStr">
        <is>
          <t>LTECH</t>
        </is>
      </c>
      <c r="F25" s="8" t="inlineStr">
        <is>
          <t>LT-84A</t>
        </is>
      </c>
      <c r="G25" s="7" t="n">
        <v>1</v>
      </c>
      <c r="H25" s="9" t="n">
        <v>600</v>
      </c>
      <c r="I25" s="9">
        <f>G25*H25</f>
        <v/>
      </c>
      <c r="J25" s="8" t="inlineStr">
        <is>
          <t>同上, 覆盖 F101-R7 + F103 + F201</t>
        </is>
      </c>
      <c r="K25" s="8" t="inlineStr">
        <is>
          <t>1F 综合展销电箱 F103</t>
        </is>
      </c>
    </row>
    <row r="26">
      <c r="A26" s="7" t="inlineStr">
        <is>
          <t>CONV-LT-3</t>
        </is>
      </c>
      <c r="B26" s="7" t="inlineStr">
        <is>
          <t>灯光</t>
        </is>
      </c>
      <c r="C26" s="8" t="inlineStr">
        <is>
          <t>DALI 转 0-10V 信号转换器 #3</t>
        </is>
      </c>
      <c r="D26" s="7" t="inlineStr">
        <is>
          <t>雷特科技</t>
        </is>
      </c>
      <c r="E26" s="7" t="inlineStr">
        <is>
          <t>LTECH</t>
        </is>
      </c>
      <c r="F26" s="8" t="inlineStr">
        <is>
          <t>LT-84A</t>
        </is>
      </c>
      <c r="G26" s="7" t="n">
        <v>1</v>
      </c>
      <c r="H26" s="9" t="n">
        <v>600</v>
      </c>
      <c r="I26" s="9">
        <f>G26*H26</f>
        <v/>
      </c>
      <c r="J26" s="8" t="inlineStr">
        <is>
          <t>同上, 覆盖 2F 服务/办公/研究/指挥</t>
        </is>
      </c>
      <c r="K26" s="8" t="inlineStr">
        <is>
          <t>2F 公共电箱 F201</t>
        </is>
      </c>
    </row>
    <row r="27" ht="24" customHeight="1">
      <c r="A27" s="19" t="inlineStr">
        <is>
          <t>本表合计</t>
        </is>
      </c>
      <c r="B27" s="22" t="n"/>
      <c r="C27" s="22" t="n"/>
      <c r="D27" s="22" t="n"/>
      <c r="E27" s="22" t="n"/>
      <c r="F27" s="22" t="n"/>
      <c r="G27" s="22" t="n"/>
      <c r="H27" s="23" t="n"/>
      <c r="I27" s="20">
        <f>SUM(I5:I26)</f>
        <v/>
      </c>
      <c r="J27" s="21" t="n"/>
      <c r="K27" s="21" t="n"/>
    </row>
  </sheetData>
  <mergeCells count="6">
    <mergeCell ref="A2:K2"/>
    <mergeCell ref="A5:K5"/>
    <mergeCell ref="A27:H27"/>
    <mergeCell ref="A1:K1"/>
    <mergeCell ref="A23:K23"/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3. LED 大屏子系统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3.1 LED 大屏控制器 (诺瓦 NovaStar)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LED-CTRL-1</t>
        </is>
      </c>
      <c r="B6" s="7" t="inlineStr">
        <is>
          <t>LED</t>
        </is>
      </c>
      <c r="C6" s="8" t="inlineStr">
        <is>
          <t>LED 视频处理器 (发送卡 + 拼接)</t>
        </is>
      </c>
      <c r="D6" s="7" t="inlineStr">
        <is>
          <t>诺瓦星云</t>
        </is>
      </c>
      <c r="E6" s="7" t="inlineStr">
        <is>
          <t>NovaStar</t>
        </is>
      </c>
      <c r="F6" s="8" t="inlineStr">
        <is>
          <t>VX1000 (待最终确认)</t>
        </is>
      </c>
      <c r="G6" s="7" t="n">
        <v>1</v>
      </c>
      <c r="H6" s="9" t="n">
        <v>18000</v>
      </c>
      <c r="I6" s="9">
        <f>G6*H6</f>
        <v/>
      </c>
      <c r="J6" s="8" t="inlineStr">
        <is>
          <t>6.5M 像素 · 10×RJ45 · HDMI×2+DVI+SDI · 1U 机架</t>
        </is>
      </c>
      <c r="K6" s="8" t="inlineStr">
        <is>
          <t>1F 主控室机柜</t>
        </is>
      </c>
    </row>
    <row r="7">
      <c r="A7" s="7" t="inlineStr">
        <is>
          <t>LED-PLAYER-1</t>
        </is>
      </c>
      <c r="B7" s="7" t="inlineStr">
        <is>
          <t>LED</t>
        </is>
      </c>
      <c r="C7" s="8" t="inlineStr">
        <is>
          <t>LED 播控主机 (媒体播放)</t>
        </is>
      </c>
      <c r="D7" s="7" t="inlineStr">
        <is>
          <t>英特尔</t>
        </is>
      </c>
      <c r="E7" s="7" t="inlineStr">
        <is>
          <t>Intel</t>
        </is>
      </c>
      <c r="F7" s="8" t="inlineStr">
        <is>
          <t>NUC11</t>
        </is>
      </c>
      <c r="G7" s="7" t="n">
        <v>1</v>
      </c>
      <c r="H7" s="9" t="n">
        <v>4000</v>
      </c>
      <c r="I7" s="9">
        <f>G7*H7</f>
        <v/>
      </c>
      <c r="J7" s="8" t="inlineStr">
        <is>
          <t>Win10 + ViPlex Express · HDMI 输出到 VX1000</t>
        </is>
      </c>
      <c r="K7" s="8" t="inlineStr">
        <is>
          <t>1F 主控室机柜</t>
        </is>
      </c>
    </row>
    <row r="8">
      <c r="A8" s="18" t="inlineStr">
        <is>
          <t>3.2 LED 屏体配件 (按面积单独询价)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3" t="n"/>
    </row>
    <row r="9">
      <c r="A9" s="7" t="inlineStr">
        <is>
          <t>LED-RECV</t>
        </is>
      </c>
      <c r="B9" s="7" t="inlineStr">
        <is>
          <t>LED</t>
        </is>
      </c>
      <c r="C9" s="8" t="inlineStr">
        <is>
          <t>LED 接收卡 (按张计)</t>
        </is>
      </c>
      <c r="D9" s="7" t="inlineStr">
        <is>
          <t>诺瓦星云</t>
        </is>
      </c>
      <c r="E9" s="7" t="inlineStr">
        <is>
          <t>NovaStar</t>
        </is>
      </c>
      <c r="F9" s="8" t="inlineStr">
        <is>
          <t>A4s / A8s</t>
        </is>
      </c>
      <c r="G9" s="7" t="n">
        <v>100</v>
      </c>
      <c r="H9" s="9" t="n">
        <v>200</v>
      </c>
      <c r="I9" s="9">
        <f>G9*H9</f>
        <v/>
      </c>
      <c r="J9" s="8" t="inlineStr">
        <is>
          <t>每张接 65 万像素 LED 模组, 数量按屏估算</t>
        </is>
      </c>
      <c r="K9" s="8" t="inlineStr">
        <is>
          <t>屏幕内部</t>
        </is>
      </c>
    </row>
    <row r="10">
      <c r="A10" s="7" t="inlineStr">
        <is>
          <t>LED-MODULE</t>
        </is>
      </c>
      <c r="B10" s="7" t="inlineStr">
        <is>
          <t>LED</t>
        </is>
      </c>
      <c r="C10" s="8" t="inlineStr">
        <is>
          <t>LED 显示模组 (按㎡计)</t>
        </is>
      </c>
      <c r="D10" s="7" t="inlineStr">
        <is>
          <t>灯具厂家</t>
        </is>
      </c>
      <c r="E10" s="7" t="inlineStr">
        <is>
          <t>—</t>
        </is>
      </c>
      <c r="F10" s="8" t="inlineStr">
        <is>
          <t>按 P 间距选 P1.8/P2.5/P3</t>
        </is>
      </c>
      <c r="G10" s="7" t="n">
        <v>1</v>
      </c>
      <c r="H10" s="9" t="n">
        <v>0</v>
      </c>
      <c r="I10" s="9">
        <f>G10*H10</f>
        <v/>
      </c>
      <c r="J10" s="8" t="inlineStr">
        <is>
          <t>AC 220V LED 模组, 按现场面积报价</t>
        </is>
      </c>
      <c r="K10" s="8" t="inlineStr">
        <is>
          <t>1F/2F 大屏区</t>
        </is>
      </c>
    </row>
    <row r="11" ht="24" customHeight="1">
      <c r="A11" s="19" t="inlineStr">
        <is>
          <t>本表合计</t>
        </is>
      </c>
      <c r="B11" s="22" t="n"/>
      <c r="C11" s="22" t="n"/>
      <c r="D11" s="22" t="n"/>
      <c r="E11" s="22" t="n"/>
      <c r="F11" s="22" t="n"/>
      <c r="G11" s="22" t="n"/>
      <c r="H11" s="23" t="n"/>
      <c r="I11" s="20">
        <f>SUM(I5:I10)</f>
        <v/>
      </c>
      <c r="J11" s="21" t="n"/>
      <c r="K11" s="21" t="n"/>
    </row>
  </sheetData>
  <mergeCells count="5">
    <mergeCell ref="A2:K2"/>
    <mergeCell ref="A11:H11"/>
    <mergeCell ref="A5:K5"/>
    <mergeCell ref="A1:K1"/>
    <mergeCell ref="A8:K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4. 音响子系统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4.1 DSP 数字音频处理器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AUDIO-DSP-1</t>
        </is>
      </c>
      <c r="B6" s="7" t="inlineStr">
        <is>
          <t>音响</t>
        </is>
      </c>
      <c r="C6" s="8" t="inlineStr">
        <is>
          <t>数字音频处理器 (DSP)</t>
        </is>
      </c>
      <c r="D6" s="7" t="inlineStr">
        <is>
          <t>迪士普</t>
        </is>
      </c>
      <c r="E6" s="7" t="inlineStr">
        <is>
          <t>DSPPA</t>
        </is>
      </c>
      <c r="F6" s="8" t="inlineStr">
        <is>
          <t>MAG6816</t>
        </is>
      </c>
      <c r="G6" s="7" t="n">
        <v>1</v>
      </c>
      <c r="H6" s="9" t="n">
        <v>3200</v>
      </c>
      <c r="I6" s="9">
        <f>G6*H6</f>
        <v/>
      </c>
      <c r="J6" s="8" t="inlineStr">
        <is>
          <t>4 路分区输出 · 网络控制 · MIC 优先压低</t>
        </is>
      </c>
      <c r="K6" s="8" t="inlineStr">
        <is>
          <t>1F 主控室机柜</t>
        </is>
      </c>
    </row>
    <row r="7">
      <c r="A7" s="18" t="inlineStr">
        <is>
          <t>4.2 功放与喇叭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3" t="n"/>
    </row>
    <row r="8">
      <c r="A8" s="7" t="inlineStr">
        <is>
          <t>AUDIO-AMP</t>
        </is>
      </c>
      <c r="B8" s="7" t="inlineStr">
        <is>
          <t>音响</t>
        </is>
      </c>
      <c r="C8" s="8" t="inlineStr">
        <is>
          <t>定阻功放 (按分区配)</t>
        </is>
      </c>
      <c r="D8" s="7" t="inlineStr">
        <is>
          <t>同 DSP 品牌</t>
        </is>
      </c>
      <c r="E8" s="7" t="inlineStr">
        <is>
          <t>—</t>
        </is>
      </c>
      <c r="F8" s="8" t="inlineStr">
        <is>
          <t>按功率匹配 (推荐 4Ω/100W)</t>
        </is>
      </c>
      <c r="G8" s="7" t="n">
        <v>4</v>
      </c>
      <c r="H8" s="9" t="n">
        <v>1800</v>
      </c>
      <c r="I8" s="9">
        <f>G8*H8</f>
        <v/>
      </c>
      <c r="J8" s="8" t="inlineStr">
        <is>
          <t>每个分区 1 台, 共 4 区</t>
        </is>
      </c>
      <c r="K8" s="8" t="inlineStr">
        <is>
          <t>1F 弱电机柜</t>
        </is>
      </c>
    </row>
    <row r="9">
      <c r="A9" s="7" t="inlineStr">
        <is>
          <t>AUDIO-SPK</t>
        </is>
      </c>
      <c r="B9" s="7" t="inlineStr">
        <is>
          <t>音响</t>
        </is>
      </c>
      <c r="C9" s="8" t="inlineStr">
        <is>
          <t>吸顶喇叭 (按区域配)</t>
        </is>
      </c>
      <c r="D9" s="7" t="inlineStr">
        <is>
          <t>任意</t>
        </is>
      </c>
      <c r="E9" s="7" t="inlineStr">
        <is>
          <t>—</t>
        </is>
      </c>
      <c r="F9" s="8" t="inlineStr">
        <is>
          <t>吸顶 6.5"/8" 或壁挂 30-60W</t>
        </is>
      </c>
      <c r="G9" s="7" t="n">
        <v>30</v>
      </c>
      <c r="H9" s="9" t="n">
        <v>250</v>
      </c>
      <c r="I9" s="9">
        <f>G9*H9</f>
        <v/>
      </c>
      <c r="J9" s="8" t="inlineStr">
        <is>
          <t>按区域天花/墙面布置</t>
        </is>
      </c>
      <c r="K9" s="8" t="inlineStr">
        <is>
          <t>各区域天花/墙面</t>
        </is>
      </c>
    </row>
    <row r="10">
      <c r="A10" s="18" t="inlineStr">
        <is>
          <t>4.3 麦克风 (无线 UHF, 推荐方案见 docs/WIRELESS_NETWORK.md)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3" t="n"/>
    </row>
    <row r="11">
      <c r="A11" s="7" t="inlineStr">
        <is>
          <t>AUDIO-MIC-1</t>
        </is>
      </c>
      <c r="B11" s="7" t="inlineStr">
        <is>
          <t>音响</t>
        </is>
      </c>
      <c r="C11" s="8" t="inlineStr">
        <is>
          <t>无线手持麦克风 (一拖二)</t>
        </is>
      </c>
      <c r="D11" s="7" t="inlineStr">
        <is>
          <t>舒尔</t>
        </is>
      </c>
      <c r="E11" s="7" t="inlineStr">
        <is>
          <t>Shure</t>
        </is>
      </c>
      <c r="F11" s="8" t="inlineStr">
        <is>
          <t>BLX24/PG58</t>
        </is>
      </c>
      <c r="G11" s="7" t="n">
        <v>1</v>
      </c>
      <c r="H11" s="9" t="n">
        <v>5000</v>
      </c>
      <c r="I11" s="9">
        <f>G11*H11</f>
        <v/>
      </c>
      <c r="J11" s="8" t="inlineStr">
        <is>
          <t>UHF 470-510 MHz · 2 支手持</t>
        </is>
      </c>
      <c r="K11" s="8" t="inlineStr">
        <is>
          <t>接待区/路演区</t>
        </is>
      </c>
    </row>
    <row r="12">
      <c r="A12" s="7" t="inlineStr">
        <is>
          <t>AUDIO-MIC-2</t>
        </is>
      </c>
      <c r="B12" s="7" t="inlineStr">
        <is>
          <t>音响</t>
        </is>
      </c>
      <c r="C12" s="8" t="inlineStr">
        <is>
          <t>无线腰挂领夹麦 (可选)</t>
        </is>
      </c>
      <c r="D12" s="7" t="inlineStr">
        <is>
          <t>得胜</t>
        </is>
      </c>
      <c r="E12" s="7" t="inlineStr">
        <is>
          <t>Takstar</t>
        </is>
      </c>
      <c r="F12" s="8" t="inlineStr">
        <is>
          <t>TS-9550</t>
        </is>
      </c>
      <c r="G12" s="7" t="n">
        <v>1</v>
      </c>
      <c r="H12" s="9" t="n">
        <v>1200</v>
      </c>
      <c r="I12" s="9">
        <f>G12*H12</f>
        <v/>
      </c>
      <c r="J12" s="8" t="inlineStr">
        <is>
          <t>UHF 国标 · 导览/路演移动用 (可选)</t>
        </is>
      </c>
      <c r="K12" s="8" t="inlineStr">
        <is>
          <t>路演区</t>
        </is>
      </c>
    </row>
    <row r="13">
      <c r="A13" s="7" t="inlineStr">
        <is>
          <t>AUDIO-MIC-3</t>
        </is>
      </c>
      <c r="B13" s="7" t="inlineStr">
        <is>
          <t>音响</t>
        </is>
      </c>
      <c r="C13" s="8" t="inlineStr">
        <is>
          <t>鹅颈会议麦 (可选, 接待用)</t>
        </is>
      </c>
      <c r="D13" s="7" t="inlineStr">
        <is>
          <t>舒尔</t>
        </is>
      </c>
      <c r="E13" s="7" t="inlineStr">
        <is>
          <t>Shure</t>
        </is>
      </c>
      <c r="F13" s="8" t="inlineStr">
        <is>
          <t>MX418</t>
        </is>
      </c>
      <c r="G13" s="7" t="n">
        <v>2</v>
      </c>
      <c r="H13" s="9" t="n">
        <v>3500</v>
      </c>
      <c r="I13" s="9">
        <f>G13*H13</f>
        <v/>
      </c>
      <c r="J13" s="8" t="inlineStr">
        <is>
          <t>主席台会议用 (可选)</t>
        </is>
      </c>
      <c r="K13" s="8" t="inlineStr">
        <is>
          <t>2F 会议室</t>
        </is>
      </c>
    </row>
    <row r="14" ht="24" customHeight="1">
      <c r="A14" s="19" t="inlineStr">
        <is>
          <t>本表合计</t>
        </is>
      </c>
      <c r="B14" s="22" t="n"/>
      <c r="C14" s="22" t="n"/>
      <c r="D14" s="22" t="n"/>
      <c r="E14" s="22" t="n"/>
      <c r="F14" s="22" t="n"/>
      <c r="G14" s="22" t="n"/>
      <c r="H14" s="23" t="n"/>
      <c r="I14" s="20">
        <f>SUM(I5:I13)</f>
        <v/>
      </c>
      <c r="J14" s="21" t="n"/>
      <c r="K14" s="21" t="n"/>
    </row>
  </sheetData>
  <mergeCells count="6">
    <mergeCell ref="A7:K7"/>
    <mergeCell ref="A2:K2"/>
    <mergeCell ref="A10:K10"/>
    <mergeCell ref="A14:H14"/>
    <mergeCell ref="A5:K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5. 中央空调子系统 (奥克斯商用 VRF, 22 内机)</t>
        </is>
      </c>
    </row>
    <row r="2" ht="18" customHeight="1">
      <c r="A2" s="17" t="inlineStr">
        <is>
          <t>BOM 物料明细 · 更新日期 2026-05-21</t>
        </is>
      </c>
    </row>
    <row r="3"/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5.1 中央空调外机 (奥克斯 ARV-X9 商用 VRF)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HVAC-ODU-1F</t>
        </is>
      </c>
      <c r="B6" s="7" t="inlineStr">
        <is>
          <t>空调</t>
        </is>
      </c>
      <c r="C6" s="8" t="inlineStr">
        <is>
          <t>空调外机 (1 楼专用)</t>
        </is>
      </c>
      <c r="D6" s="7" t="inlineStr">
        <is>
          <t>奥克斯</t>
        </is>
      </c>
      <c r="E6" s="7" t="inlineStr">
        <is>
          <t>AUX</t>
        </is>
      </c>
      <c r="F6" s="8" t="inlineStr">
        <is>
          <t>DLR-785W5/DCM-ARVX9</t>
        </is>
      </c>
      <c r="G6" s="7" t="n">
        <v>1</v>
      </c>
      <c r="H6" s="9" t="n">
        <v>60000</v>
      </c>
      <c r="I6" s="9">
        <f>G6*H6</f>
        <v/>
      </c>
      <c r="J6" s="8" t="inlineStr">
        <is>
          <t>超低温全直流变频 · 35.5kW · 57A · 带 10 台内机</t>
        </is>
      </c>
      <c r="K6" s="8" t="inlineStr">
        <is>
          <t>楼顶设备平台</t>
        </is>
      </c>
    </row>
    <row r="7">
      <c r="A7" s="7" t="inlineStr">
        <is>
          <t>HVAC-ODU-2F</t>
        </is>
      </c>
      <c r="B7" s="7" t="inlineStr">
        <is>
          <t>空调</t>
        </is>
      </c>
      <c r="C7" s="8" t="inlineStr">
        <is>
          <t>空调外机 (2 楼专用)</t>
        </is>
      </c>
      <c r="D7" s="7" t="inlineStr">
        <is>
          <t>奥克斯</t>
        </is>
      </c>
      <c r="E7" s="7" t="inlineStr">
        <is>
          <t>AUX</t>
        </is>
      </c>
      <c r="F7" s="8" t="inlineStr">
        <is>
          <t>DLR-1015W5/DCM-ARVX9</t>
        </is>
      </c>
      <c r="G7" s="7" t="n">
        <v>1</v>
      </c>
      <c r="H7" s="9" t="n">
        <v>72000</v>
      </c>
      <c r="I7" s="9">
        <f>G7*H7</f>
        <v/>
      </c>
      <c r="J7" s="8" t="inlineStr">
        <is>
          <t>超低温全直流变频 · 40.8kW · 64A · 带 12 台内机</t>
        </is>
      </c>
      <c r="K7" s="8" t="inlineStr">
        <is>
          <t>楼顶设备平台</t>
        </is>
      </c>
    </row>
    <row r="8">
      <c r="A8" s="18" t="inlineStr">
        <is>
          <t>5.2 空调网关 (Modbus TCP)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3" t="n"/>
    </row>
    <row r="9">
      <c r="A9" s="7" t="inlineStr">
        <is>
          <t>HVAC-GW-1F</t>
        </is>
      </c>
      <c r="B9" s="7" t="inlineStr">
        <is>
          <t>空调</t>
        </is>
      </c>
      <c r="C9" s="8" t="inlineStr">
        <is>
          <t>1F TCP 集控网关</t>
        </is>
      </c>
      <c r="D9" s="7" t="inlineStr">
        <is>
          <t>中弘</t>
        </is>
      </c>
      <c r="E9" s="7" t="inlineStr">
        <is>
          <t>ZHONGHONG</t>
        </is>
      </c>
      <c r="F9" s="8" t="inlineStr">
        <is>
          <t>B 集控网关 TCP 款</t>
        </is>
      </c>
      <c r="G9" s="7" t="n">
        <v>1</v>
      </c>
      <c r="H9" s="9" t="n">
        <v>1200</v>
      </c>
      <c r="I9" s="9">
        <f>G9*H9</f>
        <v/>
      </c>
      <c r="J9" s="8" t="inlineStr">
        <is>
          <t>MODBUS-TCP V3.2 · IP 192.168.50.51 · 64 内机上限 · DC 12V/1A 供电 · 直接接交换机 (省 USR-TCP232)</t>
        </is>
      </c>
      <c r="K9" s="8" t="inlineStr">
        <is>
          <t>1F 弱电机柜</t>
        </is>
      </c>
    </row>
    <row r="10">
      <c r="A10" s="7" t="inlineStr">
        <is>
          <t>HVAC-GW-2F</t>
        </is>
      </c>
      <c r="B10" s="7" t="inlineStr">
        <is>
          <t>空调</t>
        </is>
      </c>
      <c r="C10" s="8" t="inlineStr">
        <is>
          <t>2F TCP 集控网关</t>
        </is>
      </c>
      <c r="D10" s="7" t="inlineStr">
        <is>
          <t>中弘</t>
        </is>
      </c>
      <c r="E10" s="7" t="inlineStr">
        <is>
          <t>ZHONGHONG</t>
        </is>
      </c>
      <c r="F10" s="8" t="inlineStr">
        <is>
          <t>B 集控网关 TCP 款</t>
        </is>
      </c>
      <c r="G10" s="7" t="n">
        <v>1</v>
      </c>
      <c r="H10" s="9" t="n">
        <v>1200</v>
      </c>
      <c r="I10" s="9">
        <f>G10*H10</f>
        <v/>
      </c>
      <c r="J10" s="8" t="inlineStr">
        <is>
          <t>同上 · IP 192.168.50.52 · 挂 2F 外机 (12 内机 n=0..11)</t>
        </is>
      </c>
      <c r="K10" s="8" t="inlineStr">
        <is>
          <t>2F 公共电箱 F201</t>
        </is>
      </c>
    </row>
    <row r="11">
      <c r="A11" s="18" t="inlineStr">
        <is>
          <t>5.3 中央空调内机 1F (10 台, 全直流式低静压风管机)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3" t="n"/>
    </row>
    <row r="12">
      <c r="A12" s="7" t="inlineStr">
        <is>
          <t>HVAC-1F-1</t>
        </is>
      </c>
      <c r="B12" s="7" t="inlineStr">
        <is>
          <t>空调</t>
        </is>
      </c>
      <c r="C12" s="8" t="inlineStr">
        <is>
          <t>空调内机 (企业展位 #1)</t>
        </is>
      </c>
      <c r="D12" s="7" t="inlineStr">
        <is>
          <t>奥克斯</t>
        </is>
      </c>
      <c r="E12" s="7" t="inlineStr">
        <is>
          <t>AUX</t>
        </is>
      </c>
      <c r="F12" s="8" t="inlineStr">
        <is>
          <t>DLR-63F/DCDQH</t>
        </is>
      </c>
      <c r="G12" s="7" t="n">
        <v>1</v>
      </c>
      <c r="H12" s="9" t="n">
        <v>3000</v>
      </c>
      <c r="I12" s="9">
        <f>G11*H11</f>
        <v/>
      </c>
      <c r="J12" s="8" t="inlineStr">
        <is>
          <t>1.8kW</t>
        </is>
      </c>
      <c r="K12" s="8" t="inlineStr">
        <is>
          <t>1F 企业展位</t>
        </is>
      </c>
    </row>
    <row r="13">
      <c r="A13" s="7" t="inlineStr">
        <is>
          <t>HVAC-1F-2</t>
        </is>
      </c>
      <c r="B13" s="7" t="inlineStr">
        <is>
          <t>空调</t>
        </is>
      </c>
      <c r="C13" s="8" t="inlineStr">
        <is>
          <t>空调内机 (企业展位 #2)</t>
        </is>
      </c>
      <c r="D13" s="7" t="inlineStr">
        <is>
          <t>奥克斯</t>
        </is>
      </c>
      <c r="E13" s="7" t="inlineStr">
        <is>
          <t>AUX</t>
        </is>
      </c>
      <c r="F13" s="8" t="inlineStr">
        <is>
          <t>DLR-63F/DCDQH</t>
        </is>
      </c>
      <c r="G13" s="7" t="n">
        <v>1</v>
      </c>
      <c r="H13" s="9" t="n">
        <v>3000</v>
      </c>
      <c r="I13" s="9">
        <f>G12*H12</f>
        <v/>
      </c>
      <c r="J13" s="8" t="inlineStr">
        <is>
          <t>1.8kW</t>
        </is>
      </c>
      <c r="K13" s="8" t="inlineStr">
        <is>
          <t>1F 企业展位</t>
        </is>
      </c>
    </row>
    <row r="14">
      <c r="A14" s="7" t="inlineStr">
        <is>
          <t>HVAC-1F-3</t>
        </is>
      </c>
      <c r="B14" s="7" t="inlineStr">
        <is>
          <t>空调</t>
        </is>
      </c>
      <c r="C14" s="8" t="inlineStr">
        <is>
          <t>空调内机 (企业展位 #3)</t>
        </is>
      </c>
      <c r="D14" s="7" t="inlineStr">
        <is>
          <t>奥克斯</t>
        </is>
      </c>
      <c r="E14" s="7" t="inlineStr">
        <is>
          <t>AUX</t>
        </is>
      </c>
      <c r="F14" s="8" t="inlineStr">
        <is>
          <t>DLR-63F/DCDQH</t>
        </is>
      </c>
      <c r="G14" s="7" t="n">
        <v>1</v>
      </c>
      <c r="H14" s="9" t="n">
        <v>3000</v>
      </c>
      <c r="I14" s="9">
        <f>G13*H13</f>
        <v/>
      </c>
      <c r="J14" s="8" t="inlineStr">
        <is>
          <t>1.8kW</t>
        </is>
      </c>
      <c r="K14" s="8" t="inlineStr">
        <is>
          <t>1F 企业展位</t>
        </is>
      </c>
    </row>
    <row r="15">
      <c r="A15" s="7" t="inlineStr">
        <is>
          <t>HVAC-1F-4</t>
        </is>
      </c>
      <c r="B15" s="7" t="inlineStr">
        <is>
          <t>空调</t>
        </is>
      </c>
      <c r="C15" s="8" t="inlineStr">
        <is>
          <t>空调内机 (直播间)</t>
        </is>
      </c>
      <c r="D15" s="7" t="inlineStr">
        <is>
          <t>奥克斯</t>
        </is>
      </c>
      <c r="E15" s="7" t="inlineStr">
        <is>
          <t>AUX</t>
        </is>
      </c>
      <c r="F15" s="8" t="inlineStr">
        <is>
          <t>DLR-71F/DCDQH</t>
        </is>
      </c>
      <c r="G15" s="7" t="n">
        <v>1</v>
      </c>
      <c r="H15" s="9" t="n">
        <v>3300</v>
      </c>
      <c r="I15" s="9">
        <f>G14*H14</f>
        <v/>
      </c>
      <c r="J15" s="8" t="inlineStr">
        <is>
          <t>2kW</t>
        </is>
      </c>
      <c r="K15" s="8" t="inlineStr">
        <is>
          <t>1F 直播间</t>
        </is>
      </c>
    </row>
    <row r="16">
      <c r="A16" s="7" t="inlineStr">
        <is>
          <t>HVAC-1F-5</t>
        </is>
      </c>
      <c r="B16" s="7" t="inlineStr">
        <is>
          <t>空调</t>
        </is>
      </c>
      <c r="C16" s="8" t="inlineStr">
        <is>
          <t>空调内机 (外贸交易展示区 #1)</t>
        </is>
      </c>
      <c r="D16" s="7" t="inlineStr">
        <is>
          <t>奥克斯</t>
        </is>
      </c>
      <c r="E16" s="7" t="inlineStr">
        <is>
          <t>AUX</t>
        </is>
      </c>
      <c r="F16" s="8" t="inlineStr">
        <is>
          <t>DLR-71F/DCDQH</t>
        </is>
      </c>
      <c r="G16" s="7" t="n">
        <v>1</v>
      </c>
      <c r="H16" s="9" t="n">
        <v>3300</v>
      </c>
      <c r="I16" s="9">
        <f>G15*H15</f>
        <v/>
      </c>
      <c r="J16" s="8" t="inlineStr">
        <is>
          <t>2kW</t>
        </is>
      </c>
      <c r="K16" s="8" t="inlineStr">
        <is>
          <t>1F 外贸交易展示区</t>
        </is>
      </c>
    </row>
    <row r="17">
      <c r="A17" s="7" t="inlineStr">
        <is>
          <t>HVAC-1F-6</t>
        </is>
      </c>
      <c r="B17" s="7" t="inlineStr">
        <is>
          <t>空调</t>
        </is>
      </c>
      <c r="C17" s="8" t="inlineStr">
        <is>
          <t>空调内机 (外贸交易展示区 #2)</t>
        </is>
      </c>
      <c r="D17" s="7" t="inlineStr">
        <is>
          <t>奥克斯</t>
        </is>
      </c>
      <c r="E17" s="7" t="inlineStr">
        <is>
          <t>AUX</t>
        </is>
      </c>
      <c r="F17" s="8" t="inlineStr">
        <is>
          <t>DLR-80F/DCDQH</t>
        </is>
      </c>
      <c r="G17" s="7" t="n">
        <v>1</v>
      </c>
      <c r="H17" s="9" t="n">
        <v>3500</v>
      </c>
      <c r="I17" s="9">
        <f>G16*H16</f>
        <v/>
      </c>
      <c r="J17" s="8" t="inlineStr">
        <is>
          <t>2kW</t>
        </is>
      </c>
      <c r="K17" s="8" t="inlineStr">
        <is>
          <t>1F 外贸交易展示区</t>
        </is>
      </c>
    </row>
    <row r="18">
      <c r="A18" s="7" t="inlineStr">
        <is>
          <t>HVAC-1F-7</t>
        </is>
      </c>
      <c r="B18" s="7" t="inlineStr">
        <is>
          <t>空调</t>
        </is>
      </c>
      <c r="C18" s="8" t="inlineStr">
        <is>
          <t>空调内机 (园区展示)</t>
        </is>
      </c>
      <c r="D18" s="7" t="inlineStr">
        <is>
          <t>奥克斯</t>
        </is>
      </c>
      <c r="E18" s="7" t="inlineStr">
        <is>
          <t>AUX</t>
        </is>
      </c>
      <c r="F18" s="8" t="inlineStr">
        <is>
          <t>DLR-90F/DCDQH</t>
        </is>
      </c>
      <c r="G18" s="7" t="n">
        <v>1</v>
      </c>
      <c r="H18" s="9" t="n">
        <v>4000</v>
      </c>
      <c r="I18" s="9">
        <f>G17*H17</f>
        <v/>
      </c>
      <c r="J18" s="8" t="inlineStr">
        <is>
          <t>2.2kW</t>
        </is>
      </c>
      <c r="K18" s="8" t="inlineStr">
        <is>
          <t>1F 园区展示</t>
        </is>
      </c>
    </row>
    <row r="19">
      <c r="A19" s="7" t="inlineStr">
        <is>
          <t>HVAC-1F-8</t>
        </is>
      </c>
      <c r="B19" s="7" t="inlineStr">
        <is>
          <t>空调</t>
        </is>
      </c>
      <c r="C19" s="8" t="inlineStr">
        <is>
          <t>空调内机 (路演发布洽谈区 #1)</t>
        </is>
      </c>
      <c r="D19" s="7" t="inlineStr">
        <is>
          <t>奥克斯</t>
        </is>
      </c>
      <c r="E19" s="7" t="inlineStr">
        <is>
          <t>AUX</t>
        </is>
      </c>
      <c r="F19" s="8" t="inlineStr">
        <is>
          <t>DLR-100F/DCDQH</t>
        </is>
      </c>
      <c r="G19" s="7" t="n">
        <v>1</v>
      </c>
      <c r="H19" s="9" t="n">
        <v>4500</v>
      </c>
      <c r="I19" s="9">
        <f>G18*H18</f>
        <v/>
      </c>
      <c r="J19" s="8" t="inlineStr">
        <is>
          <t>2.2kW</t>
        </is>
      </c>
      <c r="K19" s="8" t="inlineStr">
        <is>
          <t>1F 路演发布洽谈区</t>
        </is>
      </c>
    </row>
    <row r="20">
      <c r="A20" s="7" t="inlineStr">
        <is>
          <t>HVAC-1F-9</t>
        </is>
      </c>
      <c r="B20" s="7" t="inlineStr">
        <is>
          <t>空调</t>
        </is>
      </c>
      <c r="C20" s="8" t="inlineStr">
        <is>
          <t>空调内机 (路演发布洽谈区 #2)</t>
        </is>
      </c>
      <c r="D20" s="7" t="inlineStr">
        <is>
          <t>奥克斯</t>
        </is>
      </c>
      <c r="E20" s="7" t="inlineStr">
        <is>
          <t>AUX</t>
        </is>
      </c>
      <c r="F20" s="8" t="inlineStr">
        <is>
          <t>DLR-112F/DCDQH</t>
        </is>
      </c>
      <c r="G20" s="7" t="n">
        <v>1</v>
      </c>
      <c r="H20" s="9" t="n">
        <v>5000</v>
      </c>
      <c r="I20" s="9">
        <f>G19*H19</f>
        <v/>
      </c>
      <c r="J20" s="8" t="inlineStr">
        <is>
          <t>2.2kW</t>
        </is>
      </c>
      <c r="K20" s="8" t="inlineStr">
        <is>
          <t>1F 路演发布洽谈区</t>
        </is>
      </c>
    </row>
    <row r="21">
      <c r="A21" s="7" t="inlineStr">
        <is>
          <t>HVAC-1F-10</t>
        </is>
      </c>
      <c r="B21" s="7" t="inlineStr">
        <is>
          <t>空调</t>
        </is>
      </c>
      <c r="C21" s="8" t="inlineStr">
        <is>
          <t>空调内机 (企业综合展销区)</t>
        </is>
      </c>
      <c r="D21" s="7" t="inlineStr">
        <is>
          <t>奥克斯</t>
        </is>
      </c>
      <c r="E21" s="7" t="inlineStr">
        <is>
          <t>AUX</t>
        </is>
      </c>
      <c r="F21" s="8" t="inlineStr">
        <is>
          <t>DLR-125F/DCDQH</t>
        </is>
      </c>
      <c r="G21" s="7" t="n">
        <v>1</v>
      </c>
      <c r="H21" s="9" t="n">
        <v>5500</v>
      </c>
      <c r="I21" s="9">
        <f>G20*H20</f>
        <v/>
      </c>
      <c r="J21" s="8" t="inlineStr">
        <is>
          <t>2.2kW</t>
        </is>
      </c>
      <c r="K21" s="8" t="inlineStr">
        <is>
          <t>1F 企业综合展销区</t>
        </is>
      </c>
    </row>
    <row r="22">
      <c r="A22" s="18" t="inlineStr">
        <is>
          <t>5.4 中央空调内机 2F (12 台)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3" t="n"/>
    </row>
    <row r="23">
      <c r="A23" s="7" t="inlineStr">
        <is>
          <t>HVAC-2F-11</t>
        </is>
      </c>
      <c r="B23" s="7" t="inlineStr">
        <is>
          <t>空调</t>
        </is>
      </c>
      <c r="C23" s="8" t="inlineStr">
        <is>
          <t>空调内机 (集团产业管理中心)</t>
        </is>
      </c>
      <c r="D23" s="7" t="inlineStr">
        <is>
          <t>奥克斯</t>
        </is>
      </c>
      <c r="E23" s="7" t="inlineStr">
        <is>
          <t>AUX</t>
        </is>
      </c>
      <c r="F23" s="8" t="inlineStr">
        <is>
          <t>DLR-90F/DCDQH</t>
        </is>
      </c>
      <c r="G23" s="7" t="n">
        <v>1</v>
      </c>
      <c r="H23" s="9" t="n">
        <v>4000</v>
      </c>
      <c r="I23" s="9">
        <f>G22*H22</f>
        <v/>
      </c>
      <c r="J23" s="8" t="inlineStr">
        <is>
          <t>2.2kW</t>
        </is>
      </c>
      <c r="K23" s="8" t="inlineStr">
        <is>
          <t>2F 集团产业管理中心</t>
        </is>
      </c>
    </row>
    <row r="24">
      <c r="A24" s="7" t="inlineStr">
        <is>
          <t>HVAC-2F-12</t>
        </is>
      </c>
      <c r="B24" s="7" t="inlineStr">
        <is>
          <t>空调</t>
        </is>
      </c>
      <c r="C24" s="8" t="inlineStr">
        <is>
          <t>空调内机 (投资决策中心)</t>
        </is>
      </c>
      <c r="D24" s="7" t="inlineStr">
        <is>
          <t>奥克斯</t>
        </is>
      </c>
      <c r="E24" s="7" t="inlineStr">
        <is>
          <t>AUX</t>
        </is>
      </c>
      <c r="F24" s="8" t="inlineStr">
        <is>
          <t>DLR-90F/DCDQH</t>
        </is>
      </c>
      <c r="G24" s="7" t="n">
        <v>1</v>
      </c>
      <c r="H24" s="9" t="n">
        <v>4000</v>
      </c>
      <c r="I24" s="9">
        <f>G23*H23</f>
        <v/>
      </c>
      <c r="J24" s="8" t="inlineStr">
        <is>
          <t>2.2kW</t>
        </is>
      </c>
      <c r="K24" s="8" t="inlineStr">
        <is>
          <t>2F 投资决策中心</t>
        </is>
      </c>
    </row>
    <row r="25">
      <c r="A25" s="7" t="inlineStr">
        <is>
          <t>HVAC-2F-13</t>
        </is>
      </c>
      <c r="B25" s="7" t="inlineStr">
        <is>
          <t>空调</t>
        </is>
      </c>
      <c r="C25" s="8" t="inlineStr">
        <is>
          <t>空调内机 (会议室)</t>
        </is>
      </c>
      <c r="D25" s="7" t="inlineStr">
        <is>
          <t>奥克斯</t>
        </is>
      </c>
      <c r="E25" s="7" t="inlineStr">
        <is>
          <t>AUX</t>
        </is>
      </c>
      <c r="F25" s="8" t="inlineStr">
        <is>
          <t>DLR-90F/DCDQH</t>
        </is>
      </c>
      <c r="G25" s="7" t="n">
        <v>1</v>
      </c>
      <c r="H25" s="9" t="n">
        <v>4000</v>
      </c>
      <c r="I25" s="9">
        <f>G24*H24</f>
        <v/>
      </c>
      <c r="J25" s="8" t="inlineStr">
        <is>
          <t>2.2kW</t>
        </is>
      </c>
      <c r="K25" s="8" t="inlineStr">
        <is>
          <t>2F 会议室</t>
        </is>
      </c>
    </row>
    <row r="26">
      <c r="A26" s="7" t="inlineStr">
        <is>
          <t>HVAC-2F-14</t>
        </is>
      </c>
      <c r="B26" s="7" t="inlineStr">
        <is>
          <t>空调</t>
        </is>
      </c>
      <c r="C26" s="8" t="inlineStr">
        <is>
          <t>空调内机 (共享办公室 #1)</t>
        </is>
      </c>
      <c r="D26" s="7" t="inlineStr">
        <is>
          <t>奥克斯</t>
        </is>
      </c>
      <c r="E26" s="7" t="inlineStr">
        <is>
          <t>AUX</t>
        </is>
      </c>
      <c r="F26" s="8" t="inlineStr">
        <is>
          <t>DLR-90F/DCDQH</t>
        </is>
      </c>
      <c r="G26" s="7" t="n">
        <v>1</v>
      </c>
      <c r="H26" s="9" t="n">
        <v>4000</v>
      </c>
      <c r="I26" s="9">
        <f>G25*H25</f>
        <v/>
      </c>
      <c r="J26" s="8" t="inlineStr">
        <is>
          <t>2.2kW</t>
        </is>
      </c>
      <c r="K26" s="8" t="inlineStr">
        <is>
          <t>2F 共享办公室</t>
        </is>
      </c>
    </row>
    <row r="27">
      <c r="A27" s="7" t="inlineStr">
        <is>
          <t>HVAC-2F-15</t>
        </is>
      </c>
      <c r="B27" s="7" t="inlineStr">
        <is>
          <t>空调</t>
        </is>
      </c>
      <c r="C27" s="8" t="inlineStr">
        <is>
          <t>空调内机 (共享办公室 #2)</t>
        </is>
      </c>
      <c r="D27" s="7" t="inlineStr">
        <is>
          <t>奥克斯</t>
        </is>
      </c>
      <c r="E27" s="7" t="inlineStr">
        <is>
          <t>AUX</t>
        </is>
      </c>
      <c r="F27" s="8" t="inlineStr">
        <is>
          <t>DLR-90F/DCDQH</t>
        </is>
      </c>
      <c r="G27" s="7" t="n">
        <v>1</v>
      </c>
      <c r="H27" s="9" t="n">
        <v>4000</v>
      </c>
      <c r="I27" s="9">
        <f>G26*H26</f>
        <v/>
      </c>
      <c r="J27" s="8" t="inlineStr">
        <is>
          <t>2.2kW</t>
        </is>
      </c>
      <c r="K27" s="8" t="inlineStr">
        <is>
          <t>2F 共享办公室</t>
        </is>
      </c>
    </row>
    <row r="28">
      <c r="A28" s="7" t="inlineStr">
        <is>
          <t>HVAC-2F-16</t>
        </is>
      </c>
      <c r="B28" s="7" t="inlineStr">
        <is>
          <t>空调</t>
        </is>
      </c>
      <c r="C28" s="8" t="inlineStr">
        <is>
          <t>空调内机 (企业服务中心 #1)</t>
        </is>
      </c>
      <c r="D28" s="7" t="inlineStr">
        <is>
          <t>奥克斯</t>
        </is>
      </c>
      <c r="E28" s="7" t="inlineStr">
        <is>
          <t>AUX</t>
        </is>
      </c>
      <c r="F28" s="8" t="inlineStr">
        <is>
          <t>DLR-90F/DCDQH</t>
        </is>
      </c>
      <c r="G28" s="7" t="n">
        <v>1</v>
      </c>
      <c r="H28" s="9" t="n">
        <v>4000</v>
      </c>
      <c r="I28" s="9">
        <f>G27*H27</f>
        <v/>
      </c>
      <c r="J28" s="8" t="inlineStr">
        <is>
          <t>2.2kW</t>
        </is>
      </c>
      <c r="K28" s="8" t="inlineStr">
        <is>
          <t>2F 企业服务中心</t>
        </is>
      </c>
    </row>
    <row r="29">
      <c r="A29" s="7" t="inlineStr">
        <is>
          <t>HVAC-2F-17</t>
        </is>
      </c>
      <c r="B29" s="7" t="inlineStr">
        <is>
          <t>空调</t>
        </is>
      </c>
      <c r="C29" s="8" t="inlineStr">
        <is>
          <t>空调内机 (企业服务中心 #2)</t>
        </is>
      </c>
      <c r="D29" s="7" t="inlineStr">
        <is>
          <t>奥克斯</t>
        </is>
      </c>
      <c r="E29" s="7" t="inlineStr">
        <is>
          <t>AUX</t>
        </is>
      </c>
      <c r="F29" s="8" t="inlineStr">
        <is>
          <t>DLR-90F/DCDQH</t>
        </is>
      </c>
      <c r="G29" s="7" t="n">
        <v>1</v>
      </c>
      <c r="H29" s="9" t="n">
        <v>4000</v>
      </c>
      <c r="I29" s="9">
        <f>G28*H28</f>
        <v/>
      </c>
      <c r="J29" s="8" t="inlineStr">
        <is>
          <t>2.2kW</t>
        </is>
      </c>
      <c r="K29" s="8" t="inlineStr">
        <is>
          <t>2F 企业服务中心</t>
        </is>
      </c>
    </row>
    <row r="30">
      <c r="A30" s="7" t="inlineStr">
        <is>
          <t>HVAC-2F-18</t>
        </is>
      </c>
      <c r="B30" s="7" t="inlineStr">
        <is>
          <t>空调</t>
        </is>
      </c>
      <c r="C30" s="8" t="inlineStr">
        <is>
          <t>空调内机 (运营指挥中心 #1)</t>
        </is>
      </c>
      <c r="D30" s="7" t="inlineStr">
        <is>
          <t>奥克斯</t>
        </is>
      </c>
      <c r="E30" s="7" t="inlineStr">
        <is>
          <t>AUX</t>
        </is>
      </c>
      <c r="F30" s="8" t="inlineStr">
        <is>
          <t>DLR-90F/DCDQH</t>
        </is>
      </c>
      <c r="G30" s="7" t="n">
        <v>1</v>
      </c>
      <c r="H30" s="9" t="n">
        <v>4000</v>
      </c>
      <c r="I30" s="9">
        <f>G29*H29</f>
        <v/>
      </c>
      <c r="J30" s="8" t="inlineStr">
        <is>
          <t>2.2kW</t>
        </is>
      </c>
      <c r="K30" s="8" t="inlineStr">
        <is>
          <t>2F 运营指挥中心</t>
        </is>
      </c>
    </row>
    <row r="31">
      <c r="A31" s="7" t="inlineStr">
        <is>
          <t>HVAC-2F-19</t>
        </is>
      </c>
      <c r="B31" s="7" t="inlineStr">
        <is>
          <t>空调</t>
        </is>
      </c>
      <c r="C31" s="8" t="inlineStr">
        <is>
          <t>空调内机 (运营指挥中心 #2)</t>
        </is>
      </c>
      <c r="D31" s="7" t="inlineStr">
        <is>
          <t>奥克斯</t>
        </is>
      </c>
      <c r="E31" s="7" t="inlineStr">
        <is>
          <t>AUX</t>
        </is>
      </c>
      <c r="F31" s="8" t="inlineStr">
        <is>
          <t>DLR-90F/DCDQH</t>
        </is>
      </c>
      <c r="G31" s="7" t="n">
        <v>1</v>
      </c>
      <c r="H31" s="9" t="n">
        <v>4000</v>
      </c>
      <c r="I31" s="9">
        <f>G30*H30</f>
        <v/>
      </c>
      <c r="J31" s="8" t="inlineStr">
        <is>
          <t>2.2kW</t>
        </is>
      </c>
      <c r="K31" s="8" t="inlineStr">
        <is>
          <t>2F 运营指挥中心</t>
        </is>
      </c>
    </row>
    <row r="32">
      <c r="A32" s="7" t="inlineStr">
        <is>
          <t>HVAC-2F-20</t>
        </is>
      </c>
      <c r="B32" s="7" t="inlineStr">
        <is>
          <t>空调</t>
        </is>
      </c>
      <c r="C32" s="8" t="inlineStr">
        <is>
          <t>空调内机 (前厅 #1)</t>
        </is>
      </c>
      <c r="D32" s="7" t="inlineStr">
        <is>
          <t>奥克斯</t>
        </is>
      </c>
      <c r="E32" s="7" t="inlineStr">
        <is>
          <t>AUX</t>
        </is>
      </c>
      <c r="F32" s="8" t="inlineStr">
        <is>
          <t>DLR-100F/DCDQH</t>
        </is>
      </c>
      <c r="G32" s="7" t="n">
        <v>1</v>
      </c>
      <c r="H32" s="9" t="n">
        <v>4500</v>
      </c>
      <c r="I32" s="9">
        <f>G31*H31</f>
        <v/>
      </c>
      <c r="J32" s="8" t="inlineStr">
        <is>
          <t>2.2kW</t>
        </is>
      </c>
      <c r="K32" s="8" t="inlineStr">
        <is>
          <t>2F 前厅</t>
        </is>
      </c>
    </row>
    <row r="33">
      <c r="A33" s="7" t="inlineStr">
        <is>
          <t>HVAC-2F-21</t>
        </is>
      </c>
      <c r="B33" s="7" t="inlineStr">
        <is>
          <t>空调</t>
        </is>
      </c>
      <c r="C33" s="8" t="inlineStr">
        <is>
          <t>空调内机 (前厅 #2)</t>
        </is>
      </c>
      <c r="D33" s="7" t="inlineStr">
        <is>
          <t>奥克斯</t>
        </is>
      </c>
      <c r="E33" s="7" t="inlineStr">
        <is>
          <t>AUX</t>
        </is>
      </c>
      <c r="F33" s="8" t="inlineStr">
        <is>
          <t>DLR-100F/DCDQH</t>
        </is>
      </c>
      <c r="G33" s="7" t="n">
        <v>1</v>
      </c>
      <c r="H33" s="9" t="n">
        <v>4500</v>
      </c>
      <c r="I33" s="9">
        <f>G32*H32</f>
        <v/>
      </c>
      <c r="J33" s="8" t="inlineStr">
        <is>
          <t>2.2kW</t>
        </is>
      </c>
      <c r="K33" s="8" t="inlineStr">
        <is>
          <t>2F 前厅</t>
        </is>
      </c>
    </row>
    <row r="34">
      <c r="A34" s="7" t="inlineStr">
        <is>
          <t>HVAC-2F-22</t>
        </is>
      </c>
      <c r="B34" s="7" t="inlineStr">
        <is>
          <t>空调</t>
        </is>
      </c>
      <c r="C34" s="8" t="inlineStr">
        <is>
          <t>空调内机 (产业研究中心)</t>
        </is>
      </c>
      <c r="D34" s="7" t="inlineStr">
        <is>
          <t>奥克斯</t>
        </is>
      </c>
      <c r="E34" s="7" t="inlineStr">
        <is>
          <t>AUX</t>
        </is>
      </c>
      <c r="F34" s="8" t="inlineStr">
        <is>
          <t>DLR-100F/DCDQH</t>
        </is>
      </c>
      <c r="G34" s="7" t="n">
        <v>1</v>
      </c>
      <c r="H34" s="9" t="n">
        <v>4500</v>
      </c>
      <c r="I34" s="9">
        <f>G33*H33</f>
        <v/>
      </c>
      <c r="J34" s="8" t="inlineStr">
        <is>
          <t>2.2kW</t>
        </is>
      </c>
      <c r="K34" s="8" t="inlineStr">
        <is>
          <t>2F 产业研究中心</t>
        </is>
      </c>
    </row>
    <row r="35">
      <c r="A35" s="18" t="inlineStr">
        <is>
          <t>5.5 触摸屏线控器 (每台内机配 1 个)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3" t="n"/>
    </row>
    <row r="36" ht="24" customHeight="1">
      <c r="A36" s="7" t="inlineStr">
        <is>
          <t>HVAC-CTRL</t>
        </is>
      </c>
      <c r="B36" s="7" t="inlineStr">
        <is>
          <t>空调</t>
        </is>
      </c>
      <c r="C36" s="8" t="inlineStr">
        <is>
          <t>触摸屏线控器</t>
        </is>
      </c>
      <c r="D36" s="7" t="inlineStr">
        <is>
          <t>奥克斯</t>
        </is>
      </c>
      <c r="E36" s="7" t="inlineStr">
        <is>
          <t>AUX</t>
        </is>
      </c>
      <c r="F36" s="8" t="inlineStr">
        <is>
          <t>XK10-DL-AUX (内销)</t>
        </is>
      </c>
      <c r="G36" s="7" t="n">
        <v>22</v>
      </c>
      <c r="H36" s="9" t="n">
        <v>200</v>
      </c>
      <c r="I36" s="9">
        <f>G35*H35</f>
        <v/>
      </c>
      <c r="J36" s="8" t="inlineStr">
        <is>
          <t>每台内机配 1 个, 现场可手动操控</t>
        </is>
      </c>
      <c r="K36" s="8" t="inlineStr">
        <is>
          <t>各内机旁</t>
        </is>
      </c>
    </row>
    <row r="37">
      <c r="A37" s="19" t="inlineStr">
        <is>
          <t>本表合计</t>
        </is>
      </c>
      <c r="B37" s="22" t="n"/>
      <c r="C37" s="22" t="n"/>
      <c r="D37" s="22" t="n"/>
      <c r="E37" s="22" t="n"/>
      <c r="F37" s="22" t="n"/>
      <c r="G37" s="22" t="n"/>
      <c r="H37" s="23" t="n"/>
      <c r="I37" s="20">
        <f>SUM(I5:I36)</f>
        <v/>
      </c>
      <c r="J37" s="21" t="n"/>
      <c r="K37" s="21" t="n"/>
    </row>
  </sheetData>
  <mergeCells count="8">
    <mergeCell ref="A34:K34"/>
    <mergeCell ref="A21:K21"/>
    <mergeCell ref="A2:K2"/>
    <mergeCell ref="A36:H36"/>
    <mergeCell ref="A10:K10"/>
    <mergeCell ref="A5:K5"/>
    <mergeCell ref="A1:K1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6. 网络与电源配套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6.1 核心网络设备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NET-SW-1</t>
        </is>
      </c>
      <c r="B6" s="7" t="inlineStr">
        <is>
          <t>网络</t>
        </is>
      </c>
      <c r="C6" s="8" t="inlineStr">
        <is>
          <t>24 口千兆网管交换机</t>
        </is>
      </c>
      <c r="D6" s="7" t="inlineStr">
        <is>
          <t>华三</t>
        </is>
      </c>
      <c r="E6" s="7" t="inlineStr">
        <is>
          <t>H3C</t>
        </is>
      </c>
      <c r="F6" s="8" t="inlineStr">
        <is>
          <t>S1224R</t>
        </is>
      </c>
      <c r="G6" s="7" t="n">
        <v>1</v>
      </c>
      <c r="H6" s="9" t="n">
        <v>1100</v>
      </c>
      <c r="I6" s="9">
        <f>G6*H6</f>
        <v/>
      </c>
      <c r="J6" s="8" t="inlineStr">
        <is>
          <t>网管型 · VLAN 支持 · 1U 机架</t>
        </is>
      </c>
      <c r="K6" s="8" t="inlineStr">
        <is>
          <t>1F 弱电机柜</t>
        </is>
      </c>
    </row>
    <row r="7">
      <c r="A7" s="7" t="inlineStr">
        <is>
          <t>NET-RT-1</t>
        </is>
      </c>
      <c r="B7" s="7" t="inlineStr">
        <is>
          <t>网络</t>
        </is>
      </c>
      <c r="C7" s="8" t="inlineStr">
        <is>
          <t>双 WAN 千兆路由器</t>
        </is>
      </c>
      <c r="D7" s="7" t="inlineStr">
        <is>
          <t>普联</t>
        </is>
      </c>
      <c r="E7" s="7" t="inlineStr">
        <is>
          <t>TP-Link</t>
        </is>
      </c>
      <c r="F7" s="8" t="inlineStr">
        <is>
          <t>TL-ER605</t>
        </is>
      </c>
      <c r="G7" s="7" t="n">
        <v>1</v>
      </c>
      <c r="H7" s="9" t="n">
        <v>450</v>
      </c>
      <c r="I7" s="9">
        <f>G7*H7</f>
        <v/>
      </c>
      <c r="J7" s="8" t="inlineStr">
        <is>
          <t>5 千兆口 · 50 用户 · VPN</t>
        </is>
      </c>
      <c r="K7" s="8" t="inlineStr">
        <is>
          <t>1F 弱电机柜</t>
        </is>
      </c>
    </row>
    <row r="8">
      <c r="A8" s="18" t="inlineStr">
        <is>
          <t>6.2 无线 (可选, 详见 docs/WIRELESS_NETWORK.md)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3" t="n"/>
    </row>
    <row r="9">
      <c r="A9" s="7" t="inlineStr">
        <is>
          <t>NET-AP</t>
        </is>
      </c>
      <c r="B9" s="7" t="inlineStr">
        <is>
          <t>网络</t>
        </is>
      </c>
      <c r="C9" s="8" t="inlineStr">
        <is>
          <t>吸顶 AP (POE 双频 WiFi)</t>
        </is>
      </c>
      <c r="D9" s="7" t="inlineStr">
        <is>
          <t>普联</t>
        </is>
      </c>
      <c r="E9" s="7" t="inlineStr">
        <is>
          <t>TP-Link</t>
        </is>
      </c>
      <c r="F9" s="8" t="inlineStr">
        <is>
          <t>CAP1750-PoE</t>
        </is>
      </c>
      <c r="G9" s="7" t="n">
        <v>4</v>
      </c>
      <c r="H9" s="9" t="n">
        <v>500</v>
      </c>
      <c r="I9" s="9">
        <f>G9*H9</f>
        <v/>
      </c>
      <c r="J9" s="8" t="inlineStr">
        <is>
          <t>WiFi5 双频 · POE · 室内 80-120㎡覆盖</t>
        </is>
      </c>
      <c r="K9" s="8" t="inlineStr">
        <is>
          <t>1F/2F 公共区域天花</t>
        </is>
      </c>
    </row>
    <row r="10">
      <c r="A10" s="7" t="inlineStr">
        <is>
          <t>NET-AC</t>
        </is>
      </c>
      <c r="B10" s="7" t="inlineStr">
        <is>
          <t>网络</t>
        </is>
      </c>
      <c r="C10" s="8" t="inlineStr">
        <is>
          <t>AC 无线控制器</t>
        </is>
      </c>
      <c r="D10" s="7" t="inlineStr">
        <is>
          <t>普联</t>
        </is>
      </c>
      <c r="E10" s="7" t="inlineStr">
        <is>
          <t>TP-Link</t>
        </is>
      </c>
      <c r="F10" s="8" t="inlineStr">
        <is>
          <t>AC500</t>
        </is>
      </c>
      <c r="G10" s="7" t="n">
        <v>1</v>
      </c>
      <c r="H10" s="9" t="n">
        <v>1000</v>
      </c>
      <c r="I10" s="9">
        <f>G10*H10</f>
        <v/>
      </c>
      <c r="J10" s="8" t="inlineStr">
        <is>
          <t>管理多台 AP · 集中配置</t>
        </is>
      </c>
      <c r="K10" s="8" t="inlineStr">
        <is>
          <t>1F 弱电机柜</t>
        </is>
      </c>
    </row>
    <row r="11">
      <c r="A11" s="7" t="inlineStr">
        <is>
          <t>NET-POE-SW</t>
        </is>
      </c>
      <c r="B11" s="7" t="inlineStr">
        <is>
          <t>网络</t>
        </is>
      </c>
      <c r="C11" s="8" t="inlineStr">
        <is>
          <t>16 口 POE 交换机 (替代/补充)</t>
        </is>
      </c>
      <c r="D11" s="7" t="inlineStr">
        <is>
          <t>普联</t>
        </is>
      </c>
      <c r="E11" s="7" t="inlineStr">
        <is>
          <t>TP-Link</t>
        </is>
      </c>
      <c r="F11" s="8" t="inlineStr">
        <is>
          <t>TL-SG2218P (16+2 POE 250W)</t>
        </is>
      </c>
      <c r="G11" s="7" t="n">
        <v>1</v>
      </c>
      <c r="H11" s="9" t="n">
        <v>1500</v>
      </c>
      <c r="I11" s="9">
        <f>G11*H11</f>
        <v/>
      </c>
      <c r="J11" s="8" t="inlineStr">
        <is>
          <t>若选 POE 替代普通 24 口交换机</t>
        </is>
      </c>
      <c r="K11" s="8" t="inlineStr">
        <is>
          <t>1F 弱电机柜</t>
        </is>
      </c>
    </row>
    <row r="12">
      <c r="A12" s="18" t="inlineStr">
        <is>
          <t>6.3 不间断电源 UPS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3" t="n"/>
    </row>
    <row r="13">
      <c r="A13" s="7" t="inlineStr">
        <is>
          <t>UPS-1</t>
        </is>
      </c>
      <c r="B13" s="7" t="inlineStr">
        <is>
          <t>网络</t>
        </is>
      </c>
      <c r="C13" s="8" t="inlineStr">
        <is>
          <t>不间断电源 UPS 1KVA</t>
        </is>
      </c>
      <c r="D13" s="7" t="inlineStr">
        <is>
          <t>山特</t>
        </is>
      </c>
      <c r="E13" s="7" t="inlineStr">
        <is>
          <t>SANTAK</t>
        </is>
      </c>
      <c r="F13" s="8" t="inlineStr">
        <is>
          <t>C1K</t>
        </is>
      </c>
      <c r="G13" s="7" t="n">
        <v>1</v>
      </c>
      <c r="H13" s="9" t="n">
        <v>1000</v>
      </c>
      <c r="I13" s="9">
        <f>G13*H13</f>
        <v/>
      </c>
      <c r="J13" s="8" t="inlineStr">
        <is>
          <t>后备式 · 1000VA/600W · 主控+网络设备</t>
        </is>
      </c>
      <c r="K13" s="8" t="inlineStr">
        <is>
          <t>1F 弱电机柜底部</t>
        </is>
      </c>
    </row>
    <row r="14">
      <c r="A14" s="18" t="inlineStr">
        <is>
          <t>6.4 机柜与配电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3" t="n"/>
    </row>
    <row r="15">
      <c r="A15" s="7" t="inlineStr">
        <is>
          <t>CAB-1</t>
        </is>
      </c>
      <c r="B15" s="7" t="inlineStr">
        <is>
          <t>网络</t>
        </is>
      </c>
      <c r="C15" s="8" t="inlineStr">
        <is>
          <t>12U 网络机柜 (600×600)</t>
        </is>
      </c>
      <c r="D15" s="7" t="inlineStr">
        <is>
          <t>图腾</t>
        </is>
      </c>
      <c r="E15" s="7" t="inlineStr">
        <is>
          <t>Toten</t>
        </is>
      </c>
      <c r="F15" s="8" t="inlineStr">
        <is>
          <t>12U 网络机柜</t>
        </is>
      </c>
      <c r="G15" s="7" t="n">
        <v>1</v>
      </c>
      <c r="H15" s="9" t="n">
        <v>1200</v>
      </c>
      <c r="I15" s="9">
        <f>G15*H15</f>
        <v/>
      </c>
      <c r="J15" s="8" t="inlineStr">
        <is>
          <t>钢化玻璃门 · 4 风扇 · 落地式</t>
        </is>
      </c>
      <c r="K15" s="8" t="inlineStr">
        <is>
          <t>1F 主控室</t>
        </is>
      </c>
    </row>
    <row r="16">
      <c r="A16" s="7" t="inlineStr">
        <is>
          <t>PDU-1</t>
        </is>
      </c>
      <c r="B16" s="7" t="inlineStr">
        <is>
          <t>网络</t>
        </is>
      </c>
      <c r="C16" s="8" t="inlineStr">
        <is>
          <t>8 位 PDU 电源分配</t>
        </is>
      </c>
      <c r="D16" s="7" t="inlineStr">
        <is>
          <t>图腾</t>
        </is>
      </c>
      <c r="E16" s="7" t="inlineStr">
        <is>
          <t>Toten</t>
        </is>
      </c>
      <c r="F16" s="8" t="inlineStr">
        <is>
          <t>8 位 1U PDU 16A</t>
        </is>
      </c>
      <c r="G16" s="7" t="n">
        <v>1</v>
      </c>
      <c r="H16" s="9" t="n">
        <v>200</v>
      </c>
      <c r="I16" s="9">
        <f>G16*H16</f>
        <v/>
      </c>
      <c r="J16" s="8" t="inlineStr">
        <is>
          <t>机柜内统一供电 · 防雷</t>
        </is>
      </c>
      <c r="K16" s="8" t="inlineStr">
        <is>
          <t>机柜底部</t>
        </is>
      </c>
    </row>
    <row r="17" ht="24" customHeight="1">
      <c r="A17" s="19" t="inlineStr">
        <is>
          <t>本表合计</t>
        </is>
      </c>
      <c r="B17" s="22" t="n"/>
      <c r="C17" s="22" t="n"/>
      <c r="D17" s="22" t="n"/>
      <c r="E17" s="22" t="n"/>
      <c r="F17" s="22" t="n"/>
      <c r="G17" s="22" t="n"/>
      <c r="H17" s="23" t="n"/>
      <c r="I17" s="20">
        <f>SUM(I5:I16)</f>
        <v/>
      </c>
      <c r="J17" s="21" t="n"/>
      <c r="K17" s="21" t="n"/>
    </row>
  </sheetData>
  <mergeCells count="7">
    <mergeCell ref="A12:K12"/>
    <mergeCell ref="A2:K2"/>
    <mergeCell ref="A5:K5"/>
    <mergeCell ref="A17:H17"/>
    <mergeCell ref="A14:K14"/>
    <mergeCell ref="A1:K1"/>
    <mergeCell ref="A8:K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7. 线缆耗材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18" t="inlineStr">
        <is>
          <t>7.1 网线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NET-CAT5E</t>
        </is>
      </c>
      <c r="B6" s="7" t="inlineStr">
        <is>
          <t>线缆</t>
        </is>
      </c>
      <c r="C6" s="8" t="inlineStr">
        <is>
          <t>超五类 Cat5e 网线 (室内)</t>
        </is>
      </c>
      <c r="D6" s="7" t="inlineStr">
        <is>
          <t>安普/普睿</t>
        </is>
      </c>
      <c r="E6" s="7" t="inlineStr">
        <is>
          <t>AMP/普睿</t>
        </is>
      </c>
      <c r="F6" s="8" t="inlineStr">
        <is>
          <t>超五类 屏蔽双绞</t>
        </is>
      </c>
      <c r="G6" s="7" t="n">
        <v>200</v>
      </c>
      <c r="H6" s="9" t="n">
        <v>4</v>
      </c>
      <c r="I6" s="9">
        <f>G6*H6</f>
        <v/>
      </c>
      <c r="J6" s="8" t="inlineStr">
        <is>
          <t>设备间互联</t>
        </is>
      </c>
      <c r="K6" s="8" t="inlineStr">
        <is>
          <t>弱电井</t>
        </is>
      </c>
    </row>
    <row r="7">
      <c r="A7" s="7" t="inlineStr">
        <is>
          <t>NET-CAT6</t>
        </is>
      </c>
      <c r="B7" s="7" t="inlineStr">
        <is>
          <t>线缆</t>
        </is>
      </c>
      <c r="C7" s="8" t="inlineStr">
        <is>
          <t>超六类 Cat6 网线 (LED 长距离)</t>
        </is>
      </c>
      <c r="D7" s="7" t="inlineStr">
        <is>
          <t>安普/普睿</t>
        </is>
      </c>
      <c r="E7" s="7" t="inlineStr">
        <is>
          <t>AMP/普睿</t>
        </is>
      </c>
      <c r="F7" s="8" t="inlineStr">
        <is>
          <t>超六类 屏蔽</t>
        </is>
      </c>
      <c r="G7" s="7" t="n">
        <v>100</v>
      </c>
      <c r="H7" s="9" t="n">
        <v>8</v>
      </c>
      <c r="I7" s="9">
        <f>G7*H7</f>
        <v/>
      </c>
      <c r="J7" s="8" t="inlineStr">
        <is>
          <t>LED 大屏接收卡长距离</t>
        </is>
      </c>
      <c r="K7" s="8" t="inlineStr">
        <is>
          <t>弱电井</t>
        </is>
      </c>
    </row>
    <row r="8">
      <c r="A8" s="18" t="inlineStr">
        <is>
          <t>7.2 DALI 与 RS485 信号线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3" t="n"/>
    </row>
    <row r="9">
      <c r="A9" s="7" t="inlineStr">
        <is>
          <t>CAB-RVVP-DALI</t>
        </is>
      </c>
      <c r="B9" s="7" t="inlineStr">
        <is>
          <t>线缆</t>
        </is>
      </c>
      <c r="C9" s="8" t="inlineStr">
        <is>
          <t>RVVP 屏蔽双绞线 (DALI 总线)</t>
        </is>
      </c>
      <c r="D9" s="7" t="inlineStr">
        <is>
          <t>远东/正泰</t>
        </is>
      </c>
      <c r="E9" s="7" t="inlineStr">
        <is>
          <t>Far East/Chint</t>
        </is>
      </c>
      <c r="F9" s="8" t="inlineStr">
        <is>
          <t>RVVP 2×0.5mm²</t>
        </is>
      </c>
      <c r="G9" s="7" t="n">
        <v>200</v>
      </c>
      <c r="H9" s="9" t="n">
        <v>4</v>
      </c>
      <c r="I9" s="9">
        <f>G9*H9</f>
        <v/>
      </c>
      <c r="J9" s="8" t="inlineStr">
        <is>
          <t>DALI 总线 · 屏蔽层一端接地</t>
        </is>
      </c>
      <c r="K9" s="8" t="inlineStr">
        <is>
          <t>弱电井</t>
        </is>
      </c>
    </row>
    <row r="10">
      <c r="A10" s="7" t="inlineStr">
        <is>
          <t>CAB-RVSP-485</t>
        </is>
      </c>
      <c r="B10" s="7" t="inlineStr">
        <is>
          <t>线缆</t>
        </is>
      </c>
      <c r="C10" s="8" t="inlineStr">
        <is>
          <t>RVSP 屏蔽双绞线 (RS485)</t>
        </is>
      </c>
      <c r="D10" s="7" t="inlineStr">
        <is>
          <t>远东/正泰</t>
        </is>
      </c>
      <c r="E10" s="7" t="inlineStr">
        <is>
          <t>Far East/Chint</t>
        </is>
      </c>
      <c r="F10" s="8" t="inlineStr">
        <is>
          <t>RVSP 2×0.5mm² + 地</t>
        </is>
      </c>
      <c r="G10" s="7" t="n">
        <v>100</v>
      </c>
      <c r="H10" s="9" t="n">
        <v>4</v>
      </c>
      <c r="I10" s="9">
        <f>G10*H10</f>
        <v/>
      </c>
      <c r="J10" s="8" t="inlineStr">
        <is>
          <t>USR-TCP232 ↔ CY-DALI64A · ITC/DSP 控制</t>
        </is>
      </c>
      <c r="K10" s="8" t="inlineStr">
        <is>
          <t>弱电井</t>
        </is>
      </c>
    </row>
    <row r="11">
      <c r="A11" s="7" t="inlineStr">
        <is>
          <t>CAB-RVVP-XYE</t>
        </is>
      </c>
      <c r="B11" s="7" t="inlineStr">
        <is>
          <t>线缆</t>
        </is>
      </c>
      <c r="C11" s="8" t="inlineStr">
        <is>
          <t>RVVP 屏蔽双绞线 (空调 XYE 总线)</t>
        </is>
      </c>
      <c r="D11" s="7" t="inlineStr">
        <is>
          <t>远东/正泰</t>
        </is>
      </c>
      <c r="E11" s="7" t="inlineStr">
        <is>
          <t>Far East/Chint</t>
        </is>
      </c>
      <c r="F11" s="8" t="inlineStr">
        <is>
          <t>RVVP 3×0.75mm²</t>
        </is>
      </c>
      <c r="G11" s="7" t="n">
        <v>100</v>
      </c>
      <c r="H11" s="9" t="n">
        <v>5</v>
      </c>
      <c r="I11" s="9">
        <f>G11*H11</f>
        <v/>
      </c>
      <c r="J11" s="8" t="inlineStr">
        <is>
          <t>CCM-270B ↔ 外机/内机 XYE 通讯</t>
        </is>
      </c>
      <c r="K11" s="8" t="inlineStr">
        <is>
          <t>弱电井+楼顶</t>
        </is>
      </c>
    </row>
    <row r="12">
      <c r="A12" s="18" t="inlineStr">
        <is>
          <t>7.3 强电与音频线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3" t="n"/>
    </row>
    <row r="13">
      <c r="A13" s="7" t="inlineStr">
        <is>
          <t>CAB-RVV6</t>
        </is>
      </c>
      <c r="B13" s="7" t="inlineStr">
        <is>
          <t>线缆</t>
        </is>
      </c>
      <c r="C13" s="8" t="inlineStr">
        <is>
          <t>RVV 软线 2×6mm² (灯带大电流)</t>
        </is>
      </c>
      <c r="D13" s="7" t="inlineStr">
        <is>
          <t>远东</t>
        </is>
      </c>
      <c r="E13" s="7" t="inlineStr">
        <is>
          <t>Far East</t>
        </is>
      </c>
      <c r="F13" s="8" t="inlineStr">
        <is>
          <t>RVV 2×6mm²</t>
        </is>
      </c>
      <c r="G13" s="7" t="n">
        <v>80</v>
      </c>
      <c r="H13" s="9" t="n">
        <v>10</v>
      </c>
      <c r="I13" s="9">
        <f>G13*H13</f>
        <v/>
      </c>
      <c r="J13" s="8" t="inlineStr">
        <is>
          <t>走廊 130m 灯带馈线 (大电流注入)</t>
        </is>
      </c>
      <c r="K13" s="8" t="inlineStr">
        <is>
          <t>走廊吊顶</t>
        </is>
      </c>
    </row>
    <row r="14">
      <c r="A14" s="7" t="inlineStr">
        <is>
          <t>CAB-RVV4</t>
        </is>
      </c>
      <c r="B14" s="7" t="inlineStr">
        <is>
          <t>线缆</t>
        </is>
      </c>
      <c r="C14" s="8" t="inlineStr">
        <is>
          <t>RVV 软线 2×4mm² (灯带中电流)</t>
        </is>
      </c>
      <c r="D14" s="7" t="inlineStr">
        <is>
          <t>远东</t>
        </is>
      </c>
      <c r="E14" s="7" t="inlineStr">
        <is>
          <t>Far East</t>
        </is>
      </c>
      <c r="F14" s="8" t="inlineStr">
        <is>
          <t>RVV 2×4mm²</t>
        </is>
      </c>
      <c r="G14" s="7" t="n">
        <v>20</v>
      </c>
      <c r="H14" s="9" t="n">
        <v>7</v>
      </c>
      <c r="I14" s="9">
        <f>G14*H14</f>
        <v/>
      </c>
      <c r="J14" s="8" t="inlineStr">
        <is>
          <t>灯箱馈线</t>
        </is>
      </c>
      <c r="K14" s="8" t="inlineStr">
        <is>
          <t>弱电井</t>
        </is>
      </c>
    </row>
    <row r="15">
      <c r="A15" s="7" t="inlineStr">
        <is>
          <t>CAB-RVV25</t>
        </is>
      </c>
      <c r="B15" s="7" t="inlineStr">
        <is>
          <t>线缆</t>
        </is>
      </c>
      <c r="C15" s="8" t="inlineStr">
        <is>
          <t>RVV 软线 2×2.5mm²</t>
        </is>
      </c>
      <c r="D15" s="7" t="inlineStr">
        <is>
          <t>远东</t>
        </is>
      </c>
      <c r="E15" s="7" t="inlineStr">
        <is>
          <t>Far East</t>
        </is>
      </c>
      <c r="F15" s="8" t="inlineStr">
        <is>
          <t>RVV 2×2.5mm²</t>
        </is>
      </c>
      <c r="G15" s="7" t="n">
        <v>40</v>
      </c>
      <c r="H15" s="9" t="n">
        <v>5</v>
      </c>
      <c r="I15" s="9">
        <f>G15*H15</f>
        <v/>
      </c>
      <c r="J15" s="8" t="inlineStr">
        <is>
          <t>前厅灯带等</t>
        </is>
      </c>
      <c r="K15" s="8" t="inlineStr">
        <is>
          <t>电井</t>
        </is>
      </c>
    </row>
    <row r="16">
      <c r="A16" s="7" t="inlineStr">
        <is>
          <t>CAB-RVV15</t>
        </is>
      </c>
      <c r="B16" s="7" t="inlineStr">
        <is>
          <t>线缆</t>
        </is>
      </c>
      <c r="C16" s="8" t="inlineStr">
        <is>
          <t>RVV 软线 2×1.5mm²</t>
        </is>
      </c>
      <c r="D16" s="7" t="inlineStr">
        <is>
          <t>远东</t>
        </is>
      </c>
      <c r="E16" s="7" t="inlineStr">
        <is>
          <t>Far East</t>
        </is>
      </c>
      <c r="F16" s="8" t="inlineStr">
        <is>
          <t>RVV 2×1.5mm²</t>
        </is>
      </c>
      <c r="G16" s="7" t="n">
        <v>100</v>
      </c>
      <c r="H16" s="9" t="n">
        <v>3.5</v>
      </c>
      <c r="I16" s="9">
        <f>G16*H16</f>
        <v/>
      </c>
      <c r="J16" s="8" t="inlineStr">
        <is>
          <t>小回路灯带</t>
        </is>
      </c>
      <c r="K16" s="8" t="inlineStr">
        <is>
          <t>电井</t>
        </is>
      </c>
    </row>
    <row r="17">
      <c r="A17" s="7" t="inlineStr">
        <is>
          <t>CAB-RVS</t>
        </is>
      </c>
      <c r="B17" s="7" t="inlineStr">
        <is>
          <t>线缆</t>
        </is>
      </c>
      <c r="C17" s="8" t="inlineStr">
        <is>
          <t>RVS 双绞线 2×1.5mm² (喇叭线)</t>
        </is>
      </c>
      <c r="D17" s="7" t="inlineStr">
        <is>
          <t>远东</t>
        </is>
      </c>
      <c r="E17" s="7" t="inlineStr">
        <is>
          <t>Far East</t>
        </is>
      </c>
      <c r="F17" s="8" t="inlineStr">
        <is>
          <t>RVS 2×1.5mm²</t>
        </is>
      </c>
      <c r="G17" s="7" t="n">
        <v>200</v>
      </c>
      <c r="H17" s="9" t="n">
        <v>4</v>
      </c>
      <c r="I17" s="9">
        <f>G17*H17</f>
        <v/>
      </c>
      <c r="J17" s="8" t="inlineStr">
        <is>
          <t>音响喇叭</t>
        </is>
      </c>
      <c r="K17" s="8" t="inlineStr">
        <is>
          <t>吊顶</t>
        </is>
      </c>
    </row>
    <row r="18">
      <c r="A18" s="7" t="inlineStr">
        <is>
          <t>CAB-XLR</t>
        </is>
      </c>
      <c r="B18" s="7" t="inlineStr">
        <is>
          <t>线缆</t>
        </is>
      </c>
      <c r="C18" s="8" t="inlineStr">
        <is>
          <t>XLR 卡侬话筒线 OFC 屏蔽</t>
        </is>
      </c>
      <c r="D18" s="7" t="inlineStr">
        <is>
          <t>加纳美</t>
        </is>
      </c>
      <c r="E18" s="7" t="inlineStr">
        <is>
          <t>—</t>
        </is>
      </c>
      <c r="F18" s="8" t="inlineStr">
        <is>
          <t>OFC 2 芯 + XLR 头</t>
        </is>
      </c>
      <c r="G18" s="7" t="n">
        <v>50</v>
      </c>
      <c r="H18" s="9" t="n">
        <v>8</v>
      </c>
      <c r="I18" s="9">
        <f>G18*H18</f>
        <v/>
      </c>
      <c r="J18" s="8" t="inlineStr">
        <is>
          <t>DSP 麦克风信号线</t>
        </is>
      </c>
      <c r="K18" s="8" t="inlineStr">
        <is>
          <t>弱电井</t>
        </is>
      </c>
    </row>
    <row r="19">
      <c r="A19" s="18" t="inlineStr">
        <is>
          <t>7.4 接头与小件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3" t="n"/>
    </row>
    <row r="20">
      <c r="A20" s="7" t="inlineStr">
        <is>
          <t>CONN-RJ45</t>
        </is>
      </c>
      <c r="B20" s="7" t="inlineStr">
        <is>
          <t>线缆</t>
        </is>
      </c>
      <c r="C20" s="8" t="inlineStr">
        <is>
          <t>RJ45 水晶头 Cat5e/Cat6</t>
        </is>
      </c>
      <c r="D20" s="7" t="inlineStr">
        <is>
          <t>安普</t>
        </is>
      </c>
      <c r="E20" s="7" t="inlineStr">
        <is>
          <t>AMP</t>
        </is>
      </c>
      <c r="F20" s="8" t="inlineStr">
        <is>
          <t>RJ45 水晶头</t>
        </is>
      </c>
      <c r="G20" s="7" t="n">
        <v>100</v>
      </c>
      <c r="H20" s="9" t="n">
        <v>0.5</v>
      </c>
      <c r="I20" s="9">
        <f>G20*H20</f>
        <v/>
      </c>
      <c r="J20" s="8" t="inlineStr">
        <is>
          <t>做网线头</t>
        </is>
      </c>
      <c r="K20" s="8" t="inlineStr">
        <is>
          <t>现场施工</t>
        </is>
      </c>
    </row>
    <row r="21">
      <c r="A21" s="7" t="inlineStr">
        <is>
          <t>CONN-TEST</t>
        </is>
      </c>
      <c r="B21" s="7" t="inlineStr">
        <is>
          <t>线缆</t>
        </is>
      </c>
      <c r="C21" s="8" t="inlineStr">
        <is>
          <t>网线测试仪</t>
        </is>
      </c>
      <c r="D21" s="7" t="inlineStr">
        <is>
          <t>任意</t>
        </is>
      </c>
      <c r="E21" s="7" t="inlineStr">
        <is>
          <t>—</t>
        </is>
      </c>
      <c r="F21" s="8" t="inlineStr">
        <is>
          <t>通用网线测线仪</t>
        </is>
      </c>
      <c r="G21" s="7" t="n">
        <v>1</v>
      </c>
      <c r="H21" s="9" t="n">
        <v>50</v>
      </c>
      <c r="I21" s="9">
        <f>G21*H21</f>
        <v/>
      </c>
      <c r="J21" s="8" t="inlineStr">
        <is>
          <t>验通断</t>
        </is>
      </c>
      <c r="K21" s="8" t="inlineStr">
        <is>
          <t>工具箱</t>
        </is>
      </c>
    </row>
    <row r="22" ht="24" customHeight="1">
      <c r="A22" s="19" t="inlineStr">
        <is>
          <t>本表合计</t>
        </is>
      </c>
      <c r="B22" s="22" t="n"/>
      <c r="C22" s="22" t="n"/>
      <c r="D22" s="22" t="n"/>
      <c r="E22" s="22" t="n"/>
      <c r="F22" s="22" t="n"/>
      <c r="G22" s="22" t="n"/>
      <c r="H22" s="23" t="n"/>
      <c r="I22" s="20">
        <f>SUM(I5:I21)</f>
        <v/>
      </c>
      <c r="J22" s="21" t="n"/>
      <c r="K22" s="21" t="n"/>
    </row>
  </sheetData>
  <mergeCells count="7">
    <mergeCell ref="A12:K12"/>
    <mergeCell ref="A2:K2"/>
    <mergeCell ref="A19:K19"/>
    <mergeCell ref="A5:K5"/>
    <mergeCell ref="A1:K1"/>
    <mergeCell ref="A22:H22"/>
    <mergeCell ref="A8:K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28" customWidth="1" min="6" max="6"/>
    <col width="8" customWidth="1" min="7" max="7"/>
    <col width="12" customWidth="1" min="8" max="8"/>
    <col width="12" customWidth="1" min="9" max="9"/>
    <col width="50" customWidth="1" min="10" max="10"/>
    <col width="28" customWidth="1" min="11" max="11"/>
  </cols>
  <sheetData>
    <row r="1" ht="32" customHeight="1">
      <c r="A1" s="1" t="inlineStr">
        <is>
          <t>金湖展贸中心智能控制系统 · 8. 工具与调试</t>
        </is>
      </c>
    </row>
    <row r="2" ht="18" customHeight="1">
      <c r="A2" s="17" t="inlineStr">
        <is>
          <t>BOM 物料明细 · 更新日期 2026-05-21</t>
        </is>
      </c>
    </row>
    <row r="4" ht="28" customHeight="1">
      <c r="A4" s="3" t="inlineStr">
        <is>
          <t>编号</t>
        </is>
      </c>
      <c r="B4" s="3" t="inlineStr">
        <is>
          <t>设备类别</t>
        </is>
      </c>
      <c r="C4" s="3" t="inlineStr">
        <is>
          <t>中文设备名</t>
        </is>
      </c>
      <c r="D4" s="3" t="inlineStr">
        <is>
          <t>厂家中文名</t>
        </is>
      </c>
      <c r="E4" s="3" t="inlineStr">
        <is>
          <t>厂家英文</t>
        </is>
      </c>
      <c r="F4" s="3" t="inlineStr">
        <is>
          <t>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规格备注</t>
        </is>
      </c>
      <c r="K4" s="3" t="inlineStr">
        <is>
          <t>安装位置</t>
        </is>
      </c>
    </row>
    <row r="5">
      <c r="A5" s="7" t="inlineStr">
        <is>
          <t>TOOL-1</t>
        </is>
      </c>
      <c r="B5" s="7" t="inlineStr">
        <is>
          <t>工具</t>
        </is>
      </c>
      <c r="C5" s="8" t="inlineStr">
        <is>
          <t>数字万用表 (调试)</t>
        </is>
      </c>
      <c r="D5" s="7" t="inlineStr">
        <is>
          <t>优利德</t>
        </is>
      </c>
      <c r="E5" s="7" t="inlineStr">
        <is>
          <t>UNI-T</t>
        </is>
      </c>
      <c r="F5" s="8" t="inlineStr">
        <is>
          <t>UT139C</t>
        </is>
      </c>
      <c r="G5" s="7" t="n">
        <v>1</v>
      </c>
      <c r="H5" s="9" t="n">
        <v>300</v>
      </c>
      <c r="I5" s="9">
        <f>G5*H5</f>
        <v/>
      </c>
      <c r="J5" s="8" t="inlineStr">
        <is>
          <t>量电压/电阻/通断</t>
        </is>
      </c>
      <c r="K5" s="8" t="inlineStr">
        <is>
          <t>主控室</t>
        </is>
      </c>
    </row>
    <row r="6">
      <c r="A6" s="7" t="inlineStr">
        <is>
          <t>TOOL-2</t>
        </is>
      </c>
      <c r="B6" s="7" t="inlineStr">
        <is>
          <t>工具</t>
        </is>
      </c>
      <c r="C6" s="8" t="inlineStr">
        <is>
          <t>网线压制钳</t>
        </is>
      </c>
      <c r="D6" s="7" t="inlineStr">
        <is>
          <t>任意</t>
        </is>
      </c>
      <c r="E6" s="7" t="inlineStr">
        <is>
          <t>—</t>
        </is>
      </c>
      <c r="F6" s="8" t="inlineStr">
        <is>
          <t>RJ45 压线钳</t>
        </is>
      </c>
      <c r="G6" s="7" t="n">
        <v>1</v>
      </c>
      <c r="H6" s="9" t="n">
        <v>80</v>
      </c>
      <c r="I6" s="9">
        <f>G6*H6</f>
        <v/>
      </c>
      <c r="J6" s="8" t="inlineStr">
        <is>
          <t>做网线水晶头</t>
        </is>
      </c>
      <c r="K6" s="8" t="inlineStr">
        <is>
          <t>主控室</t>
        </is>
      </c>
    </row>
    <row r="7">
      <c r="A7" s="7" t="inlineStr">
        <is>
          <t>TOOL-3</t>
        </is>
      </c>
      <c r="B7" s="7" t="inlineStr">
        <is>
          <t>工具</t>
        </is>
      </c>
      <c r="C7" s="8" t="inlineStr">
        <is>
          <t>USB-RS485 转换器</t>
        </is>
      </c>
      <c r="D7" s="7" t="inlineStr">
        <is>
          <t>有人物联网</t>
        </is>
      </c>
      <c r="E7" s="7" t="inlineStr">
        <is>
          <t>USR IoT</t>
        </is>
      </c>
      <c r="F7" s="8" t="inlineStr">
        <is>
          <t>USB-RS485</t>
        </is>
      </c>
      <c r="G7" s="7" t="n">
        <v>1</v>
      </c>
      <c r="H7" s="9" t="n">
        <v>50</v>
      </c>
      <c r="I7" s="9">
        <f>G7*H7</f>
        <v/>
      </c>
      <c r="J7" s="8" t="inlineStr">
        <is>
          <t>现场调试串口设备</t>
        </is>
      </c>
      <c r="K7" s="8" t="inlineStr">
        <is>
          <t>主控室</t>
        </is>
      </c>
    </row>
    <row r="8">
      <c r="A8" s="7" t="inlineStr">
        <is>
          <t>TOOL-4</t>
        </is>
      </c>
      <c r="B8" s="7" t="inlineStr">
        <is>
          <t>工具</t>
        </is>
      </c>
      <c r="C8" s="8" t="inlineStr">
        <is>
          <t>螺丝刀套装 (一字+十字+精密)</t>
        </is>
      </c>
      <c r="D8" s="7" t="inlineStr">
        <is>
          <t>世达</t>
        </is>
      </c>
      <c r="E8" s="7" t="inlineStr">
        <is>
          <t>SATA</t>
        </is>
      </c>
      <c r="F8" s="8" t="inlineStr">
        <is>
          <t>螺丝刀套装</t>
        </is>
      </c>
      <c r="G8" s="7" t="n">
        <v>1</v>
      </c>
      <c r="H8" s="9" t="n">
        <v>150</v>
      </c>
      <c r="I8" s="9">
        <f>G8*H8</f>
        <v/>
      </c>
      <c r="J8" s="8" t="inlineStr">
        <is>
          <t>端子/拨码用</t>
        </is>
      </c>
      <c r="K8" s="8" t="inlineStr">
        <is>
          <t>主控室</t>
        </is>
      </c>
    </row>
    <row r="9">
      <c r="A9" s="7" t="inlineStr">
        <is>
          <t>TOOL-5</t>
        </is>
      </c>
      <c r="B9" s="7" t="inlineStr">
        <is>
          <t>工具</t>
        </is>
      </c>
      <c r="C9" s="8" t="inlineStr">
        <is>
          <t>剥线钳</t>
        </is>
      </c>
      <c r="D9" s="7" t="inlineStr">
        <is>
          <t>任意</t>
        </is>
      </c>
      <c r="E9" s="7" t="inlineStr">
        <is>
          <t>—</t>
        </is>
      </c>
      <c r="F9" s="8" t="inlineStr">
        <is>
          <t>弱电用剥线钳</t>
        </is>
      </c>
      <c r="G9" s="7" t="n">
        <v>1</v>
      </c>
      <c r="H9" s="9" t="n">
        <v>50</v>
      </c>
      <c r="I9" s="9">
        <f>G9*H9</f>
        <v/>
      </c>
      <c r="J9" s="8" t="inlineStr">
        <is>
          <t>处理弱电线</t>
        </is>
      </c>
      <c r="K9" s="8" t="inlineStr">
        <is>
          <t>主控室</t>
        </is>
      </c>
    </row>
    <row r="10">
      <c r="A10" s="7" t="inlineStr">
        <is>
          <t>TOOL-6</t>
        </is>
      </c>
      <c r="B10" s="7" t="inlineStr">
        <is>
          <t>工具</t>
        </is>
      </c>
      <c r="C10" s="8" t="inlineStr">
        <is>
          <t>标签机</t>
        </is>
      </c>
      <c r="D10" s="7" t="inlineStr">
        <is>
          <t>兄弟</t>
        </is>
      </c>
      <c r="E10" s="7" t="inlineStr">
        <is>
          <t>Brother</t>
        </is>
      </c>
      <c r="F10" s="8" t="inlineStr">
        <is>
          <t>PT-D210</t>
        </is>
      </c>
      <c r="G10" s="7" t="n">
        <v>1</v>
      </c>
      <c r="H10" s="9" t="n">
        <v>400</v>
      </c>
      <c r="I10" s="9">
        <f>G10*H10</f>
        <v/>
      </c>
      <c r="J10" s="8" t="inlineStr">
        <is>
          <t>设备/线缆标识</t>
        </is>
      </c>
      <c r="K10" s="8" t="inlineStr">
        <is>
          <t>主控室</t>
        </is>
      </c>
    </row>
    <row r="11">
      <c r="A11" s="7" t="inlineStr">
        <is>
          <t>TOOL-7</t>
        </is>
      </c>
      <c r="B11" s="7" t="inlineStr">
        <is>
          <t>工具</t>
        </is>
      </c>
      <c r="C11" s="8" t="inlineStr">
        <is>
          <t>Modbus Poll 软件 (Win)</t>
        </is>
      </c>
      <c r="D11" s="7" t="inlineStr">
        <is>
          <t>Modbus Tools</t>
        </is>
      </c>
      <c r="E11" s="7" t="inlineStr">
        <is>
          <t>Modbus Tools</t>
        </is>
      </c>
      <c r="F11" s="8" t="inlineStr">
        <is>
          <t>Modbus Poll 正版</t>
        </is>
      </c>
      <c r="G11" s="7" t="n">
        <v>1</v>
      </c>
      <c r="H11" s="9" t="n">
        <v>800</v>
      </c>
      <c r="I11" s="9">
        <f>G11*H11</f>
        <v/>
      </c>
      <c r="J11" s="8" t="inlineStr">
        <is>
          <t>寄存器调试 (HVAC/DALI), 可用试用版</t>
        </is>
      </c>
      <c r="K11" s="8" t="inlineStr">
        <is>
          <t>调试笔记本</t>
        </is>
      </c>
    </row>
    <row r="12">
      <c r="A12" s="7" t="inlineStr">
        <is>
          <t>TOOL-8</t>
        </is>
      </c>
      <c r="B12" s="7" t="inlineStr">
        <is>
          <t>工具</t>
        </is>
      </c>
      <c r="C12" s="8" t="inlineStr">
        <is>
          <t>Wireshark 抓包软件</t>
        </is>
      </c>
      <c r="D12" s="7" t="inlineStr">
        <is>
          <t>开源</t>
        </is>
      </c>
      <c r="E12" s="7" t="inlineStr">
        <is>
          <t>Wireshark</t>
        </is>
      </c>
      <c r="F12" s="8" t="inlineStr">
        <is>
          <t>开源免费</t>
        </is>
      </c>
      <c r="G12" s="7" t="n">
        <v>1</v>
      </c>
      <c r="H12" s="9" t="n">
        <v>0</v>
      </c>
      <c r="I12" s="9">
        <f>G12*H12</f>
        <v/>
      </c>
      <c r="J12" s="8" t="inlineStr">
        <is>
          <t>抓包排错</t>
        </is>
      </c>
      <c r="K12" s="8" t="inlineStr">
        <is>
          <t>调试笔记本</t>
        </is>
      </c>
    </row>
    <row r="13" ht="24" customHeight="1">
      <c r="A13" s="19" t="inlineStr">
        <is>
          <t>本表合计</t>
        </is>
      </c>
      <c r="B13" s="22" t="n"/>
      <c r="C13" s="22" t="n"/>
      <c r="D13" s="22" t="n"/>
      <c r="E13" s="22" t="n"/>
      <c r="F13" s="22" t="n"/>
      <c r="G13" s="22" t="n"/>
      <c r="H13" s="23" t="n"/>
      <c r="I13" s="20">
        <f>SUM(I5:I12)</f>
        <v/>
      </c>
      <c r="J13" s="21" t="n"/>
      <c r="K13" s="21" t="n"/>
    </row>
  </sheetData>
  <mergeCells count="3">
    <mergeCell ref="A2:K2"/>
    <mergeCell ref="A1:K1"/>
    <mergeCell ref="A13:H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4" customWidth="1" min="4" max="4"/>
    <col width="12" customWidth="1" min="5" max="5"/>
    <col width="26" customWidth="1" min="6" max="6"/>
    <col width="8" customWidth="1" min="7" max="7"/>
    <col width="12" customWidth="1" min="8" max="8"/>
    <col width="14" customWidth="1" min="9" max="9"/>
    <col width="50" customWidth="1" min="10" max="10"/>
    <col width="22" customWidth="1" min="11" max="11"/>
  </cols>
  <sheetData>
    <row r="1" ht="32" customHeight="1">
      <c r="A1" s="1" t="inlineStr">
        <is>
          <t>金湖展贸中心智能控制系统 · 9. 灯具一体化采购建议 (土建/装修预算)</t>
        </is>
      </c>
    </row>
    <row r="2" ht="22" customHeight="1">
      <c r="A2" s="24" t="inlineStr">
        <is>
          <t>⚠ 此 sheet 仅作采购建议, 由装修方采购; 灯具必须 0-10V 调光款 + AC 220V 输入 + CRI ≥ 80</t>
        </is>
      </c>
    </row>
    <row r="4" ht="28" customHeight="1">
      <c r="A4" s="3" t="inlineStr">
        <is>
          <t>编号</t>
        </is>
      </c>
      <c r="B4" s="3" t="inlineStr">
        <is>
          <t>品类</t>
        </is>
      </c>
      <c r="C4" s="3" t="inlineStr">
        <is>
          <t>中文规格</t>
        </is>
      </c>
      <c r="D4" s="3" t="inlineStr">
        <is>
          <t>品牌中文</t>
        </is>
      </c>
      <c r="E4" s="3" t="inlineStr">
        <is>
          <t>品牌英文</t>
        </is>
      </c>
      <c r="F4" s="3" t="inlineStr">
        <is>
          <t>推荐型号</t>
        </is>
      </c>
      <c r="G4" s="3" t="inlineStr">
        <is>
          <t>数量</t>
        </is>
      </c>
      <c r="H4" s="3" t="inlineStr">
        <is>
          <t>单价(¥)</t>
        </is>
      </c>
      <c r="I4" s="3" t="inlineStr">
        <is>
          <t>小计(¥)</t>
        </is>
      </c>
      <c r="J4" s="3" t="inlineStr">
        <is>
          <t>关键 spec</t>
        </is>
      </c>
      <c r="K4" s="3" t="inlineStr">
        <is>
          <t>安装位置</t>
        </is>
      </c>
    </row>
    <row r="5">
      <c r="A5" s="18" t="inlineStr">
        <is>
          <t>9.1 LED 灯带 (8 路, 392m 总, DC 24V 接外置 HLG 电源)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3" t="n"/>
    </row>
    <row r="6">
      <c r="A6" s="7" t="inlineStr">
        <is>
          <t>LIGHT-STRIP-1</t>
        </is>
      </c>
      <c r="B6" s="7" t="inlineStr">
        <is>
          <t>灯带</t>
        </is>
      </c>
      <c r="C6" s="8" t="inlineStr">
        <is>
          <t>LED 灯带 24V (前厅 30m)</t>
        </is>
      </c>
      <c r="D6" s="7" t="inlineStr">
        <is>
          <t>木林森</t>
        </is>
      </c>
      <c r="E6" s="7" t="inlineStr">
        <is>
          <t>Mulinsen</t>
        </is>
      </c>
      <c r="F6" s="8" t="inlineStr">
        <is>
          <t>5050 LED 24V 10W/m 暖白 3000K</t>
        </is>
      </c>
      <c r="G6" s="7" t="n">
        <v>30</v>
      </c>
      <c r="H6" s="9" t="n">
        <v>35</v>
      </c>
      <c r="I6" s="9">
        <f>G6*H6</f>
        <v/>
      </c>
      <c r="J6" s="8" t="inlineStr">
        <is>
          <t>CRI 80+ · IP20 · 单段 ≤5m · 5 年保</t>
        </is>
      </c>
      <c r="K6" s="8" t="inlineStr">
        <is>
          <t>1F 前厅吊顶</t>
        </is>
      </c>
    </row>
    <row r="7">
      <c r="A7" s="7" t="inlineStr">
        <is>
          <t>LIGHT-STRIP-2</t>
        </is>
      </c>
      <c r="B7" s="7" t="inlineStr">
        <is>
          <t>灯带</t>
        </is>
      </c>
      <c r="C7" s="8" t="inlineStr">
        <is>
          <t>LED 灯带 24V (展示区 15m)</t>
        </is>
      </c>
      <c r="D7" s="7" t="inlineStr">
        <is>
          <t>木林森</t>
        </is>
      </c>
      <c r="E7" s="7" t="inlineStr">
        <is>
          <t>Mulinsen</t>
        </is>
      </c>
      <c r="F7" s="8" t="inlineStr">
        <is>
          <t>5050 LED 24V 10W/m 暖白</t>
        </is>
      </c>
      <c r="G7" s="7" t="n">
        <v>15</v>
      </c>
      <c r="H7" s="9" t="n">
        <v>35</v>
      </c>
      <c r="I7" s="9">
        <f>G7*H7</f>
        <v/>
      </c>
      <c r="J7" s="8" t="inlineStr">
        <is>
          <t>同上</t>
        </is>
      </c>
      <c r="K7" s="8" t="inlineStr">
        <is>
          <t>1F F101-R2</t>
        </is>
      </c>
    </row>
    <row r="8">
      <c r="A8" s="7" t="inlineStr">
        <is>
          <t>LIGHT-STRIP-3</t>
        </is>
      </c>
      <c r="B8" s="7" t="inlineStr">
        <is>
          <t>灯带</t>
        </is>
      </c>
      <c r="C8" s="8" t="inlineStr">
        <is>
          <t>LED 灯带 24V (园区 12m)</t>
        </is>
      </c>
      <c r="D8" s="7" t="inlineStr">
        <is>
          <t>木林森</t>
        </is>
      </c>
      <c r="E8" s="7" t="inlineStr">
        <is>
          <t>Mulinsen</t>
        </is>
      </c>
      <c r="F8" s="8" t="inlineStr">
        <is>
          <t>5050 LED 24V 10W/m 暖白</t>
        </is>
      </c>
      <c r="G8" s="7" t="n">
        <v>12</v>
      </c>
      <c r="H8" s="9" t="n">
        <v>35</v>
      </c>
      <c r="I8" s="9">
        <f>G8*H8</f>
        <v/>
      </c>
      <c r="J8" s="8" t="inlineStr">
        <is>
          <t>同上</t>
        </is>
      </c>
      <c r="K8" s="8" t="inlineStr">
        <is>
          <t>1F F101-R3</t>
        </is>
      </c>
    </row>
    <row r="9">
      <c r="A9" s="7" t="inlineStr">
        <is>
          <t>LIGHT-STRIP-4</t>
        </is>
      </c>
      <c r="B9" s="7" t="inlineStr">
        <is>
          <t>灯带</t>
        </is>
      </c>
      <c r="C9" s="8" t="inlineStr">
        <is>
          <t>LED 灯带 24V (走廊 130m)</t>
        </is>
      </c>
      <c r="D9" s="7" t="inlineStr">
        <is>
          <t>木林森</t>
        </is>
      </c>
      <c r="E9" s="7" t="inlineStr">
        <is>
          <t>Mulinsen</t>
        </is>
      </c>
      <c r="F9" s="8" t="inlineStr">
        <is>
          <t>5050 LED 24V 10W/m 中性 4000K</t>
        </is>
      </c>
      <c r="G9" s="7" t="n">
        <v>130</v>
      </c>
      <c r="H9" s="9" t="n">
        <v>35</v>
      </c>
      <c r="I9" s="9">
        <f>G9*H9</f>
        <v/>
      </c>
      <c r="J9" s="8" t="inlineStr">
        <is>
          <t>走廊 IP54 防尘款</t>
        </is>
      </c>
      <c r="K9" s="8" t="inlineStr">
        <is>
          <t>1F 走廊吊顶</t>
        </is>
      </c>
    </row>
    <row r="10">
      <c r="A10" s="7" t="inlineStr">
        <is>
          <t>LIGHT-STRIP-5</t>
        </is>
      </c>
      <c r="B10" s="7" t="inlineStr">
        <is>
          <t>灯带</t>
        </is>
      </c>
      <c r="C10" s="8" t="inlineStr">
        <is>
          <t>LED 灯带 24V (R7 重点 80m)</t>
        </is>
      </c>
      <c r="D10" s="7" t="inlineStr">
        <is>
          <t>木林森</t>
        </is>
      </c>
      <c r="E10" s="7" t="inlineStr">
        <is>
          <t>Mulinsen</t>
        </is>
      </c>
      <c r="F10" s="8" t="inlineStr">
        <is>
          <t>5050 LED 24V 10W/m 暖白</t>
        </is>
      </c>
      <c r="G10" s="7" t="n">
        <v>80</v>
      </c>
      <c r="H10" s="9" t="n">
        <v>35</v>
      </c>
      <c r="I10" s="9">
        <f>G10*H10</f>
        <v/>
      </c>
      <c r="J10" s="8" t="inlineStr">
        <is>
          <t>CRI 80+</t>
        </is>
      </c>
      <c r="K10" s="8" t="inlineStr">
        <is>
          <t>1F F101-R7</t>
        </is>
      </c>
    </row>
    <row r="11">
      <c r="A11" s="7" t="inlineStr">
        <is>
          <t>LIGHT-STRIP-6</t>
        </is>
      </c>
      <c r="B11" s="7" t="inlineStr">
        <is>
          <t>灯带</t>
        </is>
      </c>
      <c r="C11" s="8" t="inlineStr">
        <is>
          <t>LED 灯带 24V (F102 企业展位 20m)</t>
        </is>
      </c>
      <c r="D11" s="7" t="inlineStr">
        <is>
          <t>木林森</t>
        </is>
      </c>
      <c r="E11" s="7" t="inlineStr">
        <is>
          <t>Mulinsen</t>
        </is>
      </c>
      <c r="F11" s="8" t="inlineStr">
        <is>
          <t>5050 LED 24V 10W/m 暖白</t>
        </is>
      </c>
      <c r="G11" s="7" t="n">
        <v>20</v>
      </c>
      <c r="H11" s="9" t="n">
        <v>35</v>
      </c>
      <c r="I11" s="9">
        <f>G11*H11</f>
        <v/>
      </c>
      <c r="J11" s="8" t="inlineStr">
        <is>
          <t>同上</t>
        </is>
      </c>
      <c r="K11" s="8" t="inlineStr">
        <is>
          <t>1F F102</t>
        </is>
      </c>
    </row>
    <row r="12">
      <c r="A12" s="7" t="inlineStr">
        <is>
          <t>LIGHT-STRIP-7</t>
        </is>
      </c>
      <c r="B12" s="7" t="inlineStr">
        <is>
          <t>灯带</t>
        </is>
      </c>
      <c r="C12" s="8" t="inlineStr">
        <is>
          <t>LED 灯带 24V (F104 物贸 20m)</t>
        </is>
      </c>
      <c r="D12" s="7" t="inlineStr">
        <is>
          <t>木林森</t>
        </is>
      </c>
      <c r="E12" s="7" t="inlineStr">
        <is>
          <t>Mulinsen</t>
        </is>
      </c>
      <c r="F12" s="8" t="inlineStr">
        <is>
          <t>5050 LED 24V 10W/m 暖白</t>
        </is>
      </c>
      <c r="G12" s="7" t="n">
        <v>20</v>
      </c>
      <c r="H12" s="9" t="n">
        <v>35</v>
      </c>
      <c r="I12" s="9">
        <f>G12*H12</f>
        <v/>
      </c>
      <c r="J12" s="8" t="inlineStr">
        <is>
          <t>同上</t>
        </is>
      </c>
      <c r="K12" s="8" t="inlineStr">
        <is>
          <t>1F F104</t>
        </is>
      </c>
    </row>
    <row r="13">
      <c r="A13" s="7" t="inlineStr">
        <is>
          <t>LIGHT-STRIP-8</t>
        </is>
      </c>
      <c r="B13" s="7" t="inlineStr">
        <is>
          <t>灯带</t>
        </is>
      </c>
      <c r="C13" s="8" t="inlineStr">
        <is>
          <t>LED 灯带 24V (2F 走廊 85m)</t>
        </is>
      </c>
      <c r="D13" s="7" t="inlineStr">
        <is>
          <t>木林森</t>
        </is>
      </c>
      <c r="E13" s="7" t="inlineStr">
        <is>
          <t>Mulinsen</t>
        </is>
      </c>
      <c r="F13" s="8" t="inlineStr">
        <is>
          <t>5050 LED 24V 10W/m 中性 4000K</t>
        </is>
      </c>
      <c r="G13" s="7" t="n">
        <v>85</v>
      </c>
      <c r="H13" s="9" t="n">
        <v>35</v>
      </c>
      <c r="I13" s="9">
        <f>G13*H13</f>
        <v/>
      </c>
      <c r="J13" s="8" t="inlineStr">
        <is>
          <t>IP54</t>
        </is>
      </c>
      <c r="K13" s="8" t="inlineStr">
        <is>
          <t>2F 走廊吊顶</t>
        </is>
      </c>
    </row>
    <row r="14">
      <c r="A14" s="18" t="inlineStr">
        <is>
          <t>9.2 LED 筒灯 / 射灯 (10 路, ~150 盏, AC 220V + 0-10V 调光款)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3" t="n"/>
    </row>
    <row r="15">
      <c r="A15" s="7" t="inlineStr">
        <is>
          <t>LIGHT-DL-1F-1</t>
        </is>
      </c>
      <c r="B15" s="7" t="inlineStr">
        <is>
          <t>筒灯</t>
        </is>
      </c>
      <c r="C15" s="8" t="inlineStr">
        <is>
          <t>LED 筒灯 20W 0-10V 调光款</t>
        </is>
      </c>
      <c r="D15" s="7" t="inlineStr">
        <is>
          <t>欧普</t>
        </is>
      </c>
      <c r="E15" s="7" t="inlineStr">
        <is>
          <t>OPPLE</t>
        </is>
      </c>
      <c r="F15" s="8" t="inlineStr">
        <is>
          <t>MK-A-20W (商照系列)</t>
        </is>
      </c>
      <c r="G15" s="7" t="n">
        <v>9</v>
      </c>
      <c r="H15" s="9" t="n">
        <v>120</v>
      </c>
      <c r="I15" s="9">
        <f>G15*H15</f>
        <v/>
      </c>
      <c r="J15" s="8" t="inlineStr">
        <is>
          <t>AC 220V · 0-10V · CRI 85 · 暖白 3000K · 开孔 90mm</t>
        </is>
      </c>
      <c r="K15" s="8" t="inlineStr">
        <is>
          <t>1F F101-R2 (前厅周边)</t>
        </is>
      </c>
    </row>
    <row r="16">
      <c r="A16" s="7" t="inlineStr">
        <is>
          <t>LIGHT-SL-1F-1</t>
        </is>
      </c>
      <c r="B16" s="7" t="inlineStr">
        <is>
          <t>射灯</t>
        </is>
      </c>
      <c r="C16" s="8" t="inlineStr">
        <is>
          <t>LED 射灯 12W 0-10V 调光款</t>
        </is>
      </c>
      <c r="D16" s="7" t="inlineStr">
        <is>
          <t>欧普</t>
        </is>
      </c>
      <c r="E16" s="7" t="inlineStr">
        <is>
          <t>OPPLE</t>
        </is>
      </c>
      <c r="F16" s="8" t="inlineStr">
        <is>
          <t>GD-A-12W</t>
        </is>
      </c>
      <c r="G16" s="7" t="n">
        <v>13</v>
      </c>
      <c r="H16" s="9" t="n">
        <v>90</v>
      </c>
      <c r="I16" s="9">
        <f>G16*H16</f>
        <v/>
      </c>
      <c r="J16" s="8" t="inlineStr">
        <is>
          <t>AC 220V · 0-10V · 24° 中角度</t>
        </is>
      </c>
      <c r="K16" s="8" t="inlineStr">
        <is>
          <t>1F F101-R2</t>
        </is>
      </c>
    </row>
    <row r="17">
      <c r="A17" s="7" t="inlineStr">
        <is>
          <t>LIGHT-DL-1F-2</t>
        </is>
      </c>
      <c r="B17" s="7" t="inlineStr">
        <is>
          <t>筒灯</t>
        </is>
      </c>
      <c r="C17" s="8" t="inlineStr">
        <is>
          <t>LED 筒灯 30W 0-10V (园区展示)</t>
        </is>
      </c>
      <c r="D17" s="7" t="inlineStr">
        <is>
          <t>欧普</t>
        </is>
      </c>
      <c r="E17" s="7" t="inlineStr">
        <is>
          <t>OPPLE</t>
        </is>
      </c>
      <c r="F17" s="8" t="inlineStr">
        <is>
          <t>MK-A-30W</t>
        </is>
      </c>
      <c r="G17" s="7" t="n">
        <v>14</v>
      </c>
      <c r="H17" s="9" t="n">
        <v>150</v>
      </c>
      <c r="I17" s="9">
        <f>G17*H17</f>
        <v/>
      </c>
      <c r="J17" s="8" t="inlineStr">
        <is>
          <t>AC 220V · 0-10V · 暖白 · 开孔 110mm</t>
        </is>
      </c>
      <c r="K17" s="8" t="inlineStr">
        <is>
          <t>1F F101-R3</t>
        </is>
      </c>
    </row>
    <row r="18">
      <c r="A18" s="7" t="inlineStr">
        <is>
          <t>LIGHT-DL-1F-3</t>
        </is>
      </c>
      <c r="B18" s="7" t="inlineStr">
        <is>
          <t>筒灯</t>
        </is>
      </c>
      <c r="C18" s="8" t="inlineStr">
        <is>
          <t>LED 筒灯 20W 0-10V (走廊密集)</t>
        </is>
      </c>
      <c r="D18" s="7" t="inlineStr">
        <is>
          <t>欧普</t>
        </is>
      </c>
      <c r="E18" s="7" t="inlineStr">
        <is>
          <t>OPPLE</t>
        </is>
      </c>
      <c r="F18" s="8" t="inlineStr">
        <is>
          <t>MK-A-20W</t>
        </is>
      </c>
      <c r="G18" s="7" t="n">
        <v>29</v>
      </c>
      <c r="H18" s="9" t="n">
        <v>120</v>
      </c>
      <c r="I18" s="9">
        <f>G18*H18</f>
        <v/>
      </c>
      <c r="J18" s="8" t="inlineStr">
        <is>
          <t>走廊 4000K 中性光</t>
        </is>
      </c>
      <c r="K18" s="8" t="inlineStr">
        <is>
          <t>1F F101-R5</t>
        </is>
      </c>
    </row>
    <row r="19">
      <c r="A19" s="7" t="inlineStr">
        <is>
          <t>LIGHT-SL-1F-3</t>
        </is>
      </c>
      <c r="B19" s="7" t="inlineStr">
        <is>
          <t>射灯</t>
        </is>
      </c>
      <c r="C19" s="8" t="inlineStr">
        <is>
          <t>LED 射灯 15W 0-10V</t>
        </is>
      </c>
      <c r="D19" s="7" t="inlineStr">
        <is>
          <t>欧普</t>
        </is>
      </c>
      <c r="E19" s="7" t="inlineStr">
        <is>
          <t>OPPLE</t>
        </is>
      </c>
      <c r="F19" s="8" t="inlineStr">
        <is>
          <t>GD-A-15W</t>
        </is>
      </c>
      <c r="G19" s="7" t="n">
        <v>10</v>
      </c>
      <c r="H19" s="9" t="n">
        <v>100</v>
      </c>
      <c r="I19" s="9">
        <f>G19*H19</f>
        <v/>
      </c>
      <c r="J19" s="8" t="inlineStr">
        <is>
          <t>24° 中角度 4000K</t>
        </is>
      </c>
      <c r="K19" s="8" t="inlineStr">
        <is>
          <t>1F F101-R5</t>
        </is>
      </c>
    </row>
    <row r="20">
      <c r="A20" s="7" t="inlineStr">
        <is>
          <t>LIGHT-CL-1F-1</t>
        </is>
      </c>
      <c r="B20" s="7" t="inlineStr">
        <is>
          <t>吸顶</t>
        </is>
      </c>
      <c r="C20" s="8" t="inlineStr">
        <is>
          <t>LED 吸顶灯 30W 0-10V</t>
        </is>
      </c>
      <c r="D20" s="7" t="inlineStr">
        <is>
          <t>欧普</t>
        </is>
      </c>
      <c r="E20" s="7" t="inlineStr">
        <is>
          <t>OPPLE</t>
        </is>
      </c>
      <c r="F20" s="8" t="inlineStr">
        <is>
          <t>吸顶圆盘 30W</t>
        </is>
      </c>
      <c r="G20" s="7" t="n">
        <v>2</v>
      </c>
      <c r="H20" s="9" t="n">
        <v>180</v>
      </c>
      <c r="I20" s="9">
        <f>G20*H20</f>
        <v/>
      </c>
      <c r="J20" s="8" t="inlineStr">
        <is>
          <t>走廊节点 AC 220V · 0-10V</t>
        </is>
      </c>
      <c r="K20" s="8" t="inlineStr">
        <is>
          <t>1F F101-R6</t>
        </is>
      </c>
    </row>
    <row r="21">
      <c r="A21" s="7" t="inlineStr">
        <is>
          <t>LIGHT-DL-1F-103</t>
        </is>
      </c>
      <c r="B21" s="7" t="inlineStr">
        <is>
          <t>筒灯</t>
        </is>
      </c>
      <c r="C21" s="8" t="inlineStr">
        <is>
          <t>LED 筒灯 20W 0-10V</t>
        </is>
      </c>
      <c r="D21" s="7" t="inlineStr">
        <is>
          <t>欧普</t>
        </is>
      </c>
      <c r="E21" s="7" t="inlineStr">
        <is>
          <t>OPPLE</t>
        </is>
      </c>
      <c r="F21" s="8" t="inlineStr">
        <is>
          <t>MK-A-20W</t>
        </is>
      </c>
      <c r="G21" s="7" t="n">
        <v>7</v>
      </c>
      <c r="H21" s="9" t="n">
        <v>120</v>
      </c>
      <c r="I21" s="9">
        <f>G21*H21</f>
        <v/>
      </c>
      <c r="J21" s="8" t="inlineStr">
        <is>
          <t>同上</t>
        </is>
      </c>
      <c r="K21" s="8" t="inlineStr">
        <is>
          <t>1F F103-R1</t>
        </is>
      </c>
    </row>
    <row r="22">
      <c r="A22" s="7" t="inlineStr">
        <is>
          <t>LIGHT-SL-1F-103</t>
        </is>
      </c>
      <c r="B22" s="7" t="inlineStr">
        <is>
          <t>射灯</t>
        </is>
      </c>
      <c r="C22" s="8" t="inlineStr">
        <is>
          <t>LED 射灯 15W 0-10V</t>
        </is>
      </c>
      <c r="D22" s="7" t="inlineStr">
        <is>
          <t>欧普</t>
        </is>
      </c>
      <c r="E22" s="7" t="inlineStr">
        <is>
          <t>OPPLE</t>
        </is>
      </c>
      <c r="F22" s="8" t="inlineStr">
        <is>
          <t>GD-A-15W</t>
        </is>
      </c>
      <c r="G22" s="7" t="n">
        <v>12</v>
      </c>
      <c r="H22" s="9" t="n">
        <v>100</v>
      </c>
      <c r="I22" s="9">
        <f>G22*H22</f>
        <v/>
      </c>
      <c r="J22" s="8" t="inlineStr">
        <is>
          <t>展销区聚焦</t>
        </is>
      </c>
      <c r="K22" s="8" t="inlineStr">
        <is>
          <t>1F F103-R1</t>
        </is>
      </c>
    </row>
    <row r="23">
      <c r="A23" s="7" t="inlineStr">
        <is>
          <t>LIGHT-DL-2F-1</t>
        </is>
      </c>
      <c r="B23" s="7" t="inlineStr">
        <is>
          <t>筒灯</t>
        </is>
      </c>
      <c r="C23" s="8" t="inlineStr">
        <is>
          <t>LED 筒灯 20W 0-10V (2F 前厅)</t>
        </is>
      </c>
      <c r="D23" s="7" t="inlineStr">
        <is>
          <t>欧普</t>
        </is>
      </c>
      <c r="E23" s="7" t="inlineStr">
        <is>
          <t>OPPLE</t>
        </is>
      </c>
      <c r="F23" s="8" t="inlineStr">
        <is>
          <t>MK-A-20W</t>
        </is>
      </c>
      <c r="G23" s="7" t="n">
        <v>30</v>
      </c>
      <c r="H23" s="9" t="n">
        <v>120</v>
      </c>
      <c r="I23" s="9">
        <f>G23*H23</f>
        <v/>
      </c>
      <c r="J23" s="8" t="inlineStr">
        <is>
          <t>密集排列 · 暖白</t>
        </is>
      </c>
      <c r="K23" s="8" t="inlineStr">
        <is>
          <t>2F F201-R1</t>
        </is>
      </c>
    </row>
    <row r="24">
      <c r="A24" s="7" t="inlineStr">
        <is>
          <t>LIGHT-DL-2F-2</t>
        </is>
      </c>
      <c r="B24" s="7" t="inlineStr">
        <is>
          <t>筒灯</t>
        </is>
      </c>
      <c r="C24" s="8" t="inlineStr">
        <is>
          <t>LED 筒灯 30W 0-10V (服务中心)</t>
        </is>
      </c>
      <c r="D24" s="7" t="inlineStr">
        <is>
          <t>欧普</t>
        </is>
      </c>
      <c r="E24" s="7" t="inlineStr">
        <is>
          <t>OPPLE</t>
        </is>
      </c>
      <c r="F24" s="8" t="inlineStr">
        <is>
          <t>MK-A-30W</t>
        </is>
      </c>
      <c r="G24" s="7" t="n">
        <v>10</v>
      </c>
      <c r="H24" s="9" t="n">
        <v>150</v>
      </c>
      <c r="I24" s="9">
        <f>G24*H24</f>
        <v/>
      </c>
      <c r="J24" s="8" t="inlineStr">
        <is>
          <t>大瓦数高亮</t>
        </is>
      </c>
      <c r="K24" s="8" t="inlineStr">
        <is>
          <t>2F F201-R2</t>
        </is>
      </c>
    </row>
    <row r="25">
      <c r="A25" s="7" t="inlineStr">
        <is>
          <t>LIGHT-DL-2F-3</t>
        </is>
      </c>
      <c r="B25" s="7" t="inlineStr">
        <is>
          <t>筒灯</t>
        </is>
      </c>
      <c r="C25" s="8" t="inlineStr">
        <is>
          <t>LED 筒灯 20W 0-10V (服务中心 + 配房)</t>
        </is>
      </c>
      <c r="D25" s="7" t="inlineStr">
        <is>
          <t>欧普</t>
        </is>
      </c>
      <c r="E25" s="7" t="inlineStr">
        <is>
          <t>OPPLE</t>
        </is>
      </c>
      <c r="F25" s="8" t="inlineStr">
        <is>
          <t>MK-A-20W</t>
        </is>
      </c>
      <c r="G25" s="7" t="n">
        <v>16</v>
      </c>
      <c r="H25" s="9" t="n">
        <v>120</v>
      </c>
      <c r="I25" s="9">
        <f>G25*H25</f>
        <v/>
      </c>
      <c r="J25" s="8" t="inlineStr">
        <is>
          <t>通用</t>
        </is>
      </c>
      <c r="K25" s="8" t="inlineStr">
        <is>
          <t>2F F201-R3</t>
        </is>
      </c>
    </row>
    <row r="26">
      <c r="A26" s="7" t="inlineStr">
        <is>
          <t>LIGHT-SL-2F-3</t>
        </is>
      </c>
      <c r="B26" s="7" t="inlineStr">
        <is>
          <t>射灯</t>
        </is>
      </c>
      <c r="C26" s="8" t="inlineStr">
        <is>
          <t>LED 射灯 15W 0-10V</t>
        </is>
      </c>
      <c r="D26" s="7" t="inlineStr">
        <is>
          <t>欧普</t>
        </is>
      </c>
      <c r="E26" s="7" t="inlineStr">
        <is>
          <t>OPPLE</t>
        </is>
      </c>
      <c r="F26" s="8" t="inlineStr">
        <is>
          <t>GD-A-15W</t>
        </is>
      </c>
      <c r="G26" s="7" t="n">
        <v>3</v>
      </c>
      <c r="H26" s="9" t="n">
        <v>100</v>
      </c>
      <c r="I26" s="9">
        <f>G26*H26</f>
        <v/>
      </c>
      <c r="J26" s="8" t="inlineStr">
        <is>
          <t>展项聚焦</t>
        </is>
      </c>
      <c r="K26" s="8" t="inlineStr">
        <is>
          <t>2F F201-R3</t>
        </is>
      </c>
    </row>
    <row r="27">
      <c r="A27" s="18" t="inlineStr">
        <is>
          <t>9.3 LED 吸顶灯 / 面板灯 (3 路, 44 盏 2F 办公区)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3" t="n"/>
    </row>
    <row r="28">
      <c r="A28" s="7" t="inlineStr">
        <is>
          <t>LIGHT-PL-2F-1</t>
        </is>
      </c>
      <c r="B28" s="7" t="inlineStr">
        <is>
          <t>面板</t>
        </is>
      </c>
      <c r="C28" s="8" t="inlineStr">
        <is>
          <t>600×600 LED 面板灯 60W 0-10V</t>
        </is>
      </c>
      <c r="D28" s="7" t="inlineStr">
        <is>
          <t>欧普</t>
        </is>
      </c>
      <c r="E28" s="7" t="inlineStr">
        <is>
          <t>OPPLE</t>
        </is>
      </c>
      <c r="F28" s="8" t="inlineStr">
        <is>
          <t>面板灯 60W</t>
        </is>
      </c>
      <c r="G28" s="7" t="n">
        <v>13</v>
      </c>
      <c r="H28" s="9" t="n">
        <v>280</v>
      </c>
      <c r="I28" s="9">
        <f>G28*H28</f>
        <v/>
      </c>
      <c r="J28" s="8" t="inlineStr">
        <is>
          <t>集成吊顶 600×600 · 自然光 4000K</t>
        </is>
      </c>
      <c r="K28" s="8" t="inlineStr">
        <is>
          <t>2F F202 共享办公</t>
        </is>
      </c>
    </row>
    <row r="29">
      <c r="A29" s="7" t="inlineStr">
        <is>
          <t>LIGHT-PL-2F-2</t>
        </is>
      </c>
      <c r="B29" s="7" t="inlineStr">
        <is>
          <t>面板</t>
        </is>
      </c>
      <c r="C29" s="8" t="inlineStr">
        <is>
          <t>600×600 LED 面板灯 60W 0-10V</t>
        </is>
      </c>
      <c r="D29" s="7" t="inlineStr">
        <is>
          <t>欧普</t>
        </is>
      </c>
      <c r="E29" s="7" t="inlineStr">
        <is>
          <t>OPPLE</t>
        </is>
      </c>
      <c r="F29" s="8" t="inlineStr">
        <is>
          <t>面板灯 60W</t>
        </is>
      </c>
      <c r="G29" s="7" t="n">
        <v>16</v>
      </c>
      <c r="H29" s="9" t="n">
        <v>280</v>
      </c>
      <c r="I29" s="9">
        <f>G29*H29</f>
        <v/>
      </c>
      <c r="J29" s="8" t="inlineStr">
        <is>
          <t>同上</t>
        </is>
      </c>
      <c r="K29" s="8" t="inlineStr">
        <is>
          <t>2F F203 产业研究</t>
        </is>
      </c>
    </row>
    <row r="30">
      <c r="A30" s="7" t="inlineStr">
        <is>
          <t>LIGHT-PL-2F-3</t>
        </is>
      </c>
      <c r="B30" s="7" t="inlineStr">
        <is>
          <t>面板</t>
        </is>
      </c>
      <c r="C30" s="8" t="inlineStr">
        <is>
          <t>600×600 LED 面板灯 60W 0-10V</t>
        </is>
      </c>
      <c r="D30" s="7" t="inlineStr">
        <is>
          <t>欧普</t>
        </is>
      </c>
      <c r="E30" s="7" t="inlineStr">
        <is>
          <t>OPPLE</t>
        </is>
      </c>
      <c r="F30" s="8" t="inlineStr">
        <is>
          <t>面板灯 60W</t>
        </is>
      </c>
      <c r="G30" s="7" t="n">
        <v>15</v>
      </c>
      <c r="H30" s="9" t="n">
        <v>280</v>
      </c>
      <c r="I30" s="9">
        <f>G30*H30</f>
        <v/>
      </c>
      <c r="J30" s="8" t="inlineStr">
        <is>
          <t>同上</t>
        </is>
      </c>
      <c r="K30" s="8" t="inlineStr">
        <is>
          <t>2F F204 指挥中心</t>
        </is>
      </c>
    </row>
    <row r="31">
      <c r="A31" s="18" t="inlineStr">
        <is>
          <t>9.4 灯箱 LED 模组 (12 ㎡)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3" t="n"/>
    </row>
    <row r="32">
      <c r="A32" s="7" t="inlineStr">
        <is>
          <t>LIGHT-LB-1</t>
        </is>
      </c>
      <c r="B32" s="7" t="inlineStr">
        <is>
          <t>灯箱</t>
        </is>
      </c>
      <c r="C32" s="8" t="inlineStr">
        <is>
          <t>LED 灯箱模组 DC 24V 50W/㎡</t>
        </is>
      </c>
      <c r="D32" s="7" t="inlineStr">
        <is>
          <t>装修方定制</t>
        </is>
      </c>
      <c r="E32" s="7" t="inlineStr">
        <is>
          <t>—</t>
        </is>
      </c>
      <c r="F32" s="8" t="inlineStr">
        <is>
          <t>24V 恒压 LED 模组拼接 600W</t>
        </is>
      </c>
      <c r="G32" s="7" t="n">
        <v>1</v>
      </c>
      <c r="H32" s="9" t="n">
        <v>6000</v>
      </c>
      <c r="I32" s="9">
        <f>G32*H32</f>
        <v/>
      </c>
      <c r="J32" s="8" t="inlineStr">
        <is>
          <t>装修方根据灯箱外壳尺寸定制 (12㎡ × ¥500/㎡)</t>
        </is>
      </c>
      <c r="K32" s="8" t="inlineStr">
        <is>
          <t>1F F101-R3 灯箱位</t>
        </is>
      </c>
    </row>
    <row r="33">
      <c r="A33" s="18" t="inlineStr">
        <is>
          <t>9.5 格栅长条灯 (1 路, 35m, 0-10V 调光款)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3" t="n"/>
    </row>
    <row r="34">
      <c r="A34" s="7" t="inlineStr">
        <is>
          <t>LIGHT-GR-1</t>
        </is>
      </c>
      <c r="B34" s="7" t="inlineStr">
        <is>
          <t>格栅</t>
        </is>
      </c>
      <c r="C34" s="8" t="inlineStr">
        <is>
          <t>LED 格栅长条灯 20W/m 0-10V</t>
        </is>
      </c>
      <c r="D34" s="7" t="inlineStr">
        <is>
          <t>三雄极光</t>
        </is>
      </c>
      <c r="E34" s="7" t="inlineStr">
        <is>
          <t>PAK</t>
        </is>
      </c>
      <c r="F34" s="8" t="inlineStr">
        <is>
          <t>格栅灯条 1.2m × 30 节</t>
        </is>
      </c>
      <c r="G34" s="7" t="n">
        <v>30</v>
      </c>
      <c r="H34" s="9" t="n">
        <v>280</v>
      </c>
      <c r="I34" s="9">
        <f>G34*H34</f>
        <v/>
      </c>
      <c r="J34" s="8" t="inlineStr">
        <is>
          <t>商照工程款 · AC 220V · 0-10V</t>
        </is>
      </c>
      <c r="K34" s="8" t="inlineStr">
        <is>
          <t>1F F101-R7</t>
        </is>
      </c>
    </row>
    <row r="35" ht="24" customHeight="1">
      <c r="A35" s="25" t="inlineStr">
        <is>
          <t>本表合计 (灯具一体化)</t>
        </is>
      </c>
      <c r="B35" s="22" t="n"/>
      <c r="C35" s="22" t="n"/>
      <c r="D35" s="22" t="n"/>
      <c r="E35" s="22" t="n"/>
      <c r="F35" s="22" t="n"/>
      <c r="G35" s="22" t="n"/>
      <c r="H35" s="23" t="n"/>
      <c r="I35" s="20">
        <f>SUM(I5:I34)</f>
        <v/>
      </c>
      <c r="J35" s="21" t="n"/>
      <c r="K35" s="21" t="n"/>
    </row>
    <row r="37">
      <c r="A37" s="13" t="inlineStr">
        <is>
          <t>■ 重要说明</t>
        </is>
      </c>
    </row>
    <row r="38" ht="26" customHeight="1">
      <c r="A38" s="14" t="inlineStr">
        <is>
          <t>1. 此 sheet 的灯具采购**由装修/土建方负责**, 智能化方仅给规格建议. 此处单价 + 数量按现场实测数据估算, 实际以装修方报价为准.</t>
        </is>
      </c>
    </row>
    <row r="39" ht="26" customHeight="1">
      <c r="A39" s="14" t="inlineStr">
        <is>
          <t>2. 推荐欧普 OPPLE 商照系列 (灯具一线 + A 股上市 + 京东天猫遍地是), 雷士 NVC / 三雄极光 PAK / 西顿 CDN 同档替代.</t>
        </is>
      </c>
    </row>
    <row r="40" ht="26" customHeight="1">
      <c r="A40" s="14" t="inlineStr">
        <is>
          <t>3. ⚠ **所有筒灯/射灯/吸顶/面板灯采购合同必须明确写: "0-10V 调光款"**. 非调光款 / TRIAC 款无法接入我们的 LT-84A 系统.</t>
        </is>
      </c>
    </row>
    <row r="41" ht="26" customHeight="1">
      <c r="A41" s="14" t="inlineStr">
        <is>
          <t>4. 灯带按 DC 24V 10W/m 主流款采购, 木林森 / 国星光电 (国产 LED 芯片龙头) 是供应链上游, 性价比最高.</t>
        </is>
      </c>
    </row>
    <row r="42" ht="26" customHeight="1">
      <c r="A42" s="14" t="inlineStr">
        <is>
          <t>5. 灯箱 LED 模组由广告灯箱厂定制 (我们提供 12㎡ 面积 + 600W 总功率给厂家), 走 DC 24V 接 HLG-320H × 2.</t>
        </is>
      </c>
    </row>
    <row r="43" ht="26" customHeight="1">
      <c r="A43" s="14" t="inlineStr">
        <is>
          <t>6. 格栅长条灯如果装修方选 AC 220V 一体化款 (0-10V 调光), 接 LT-84A 即可; 若选 DC 24V 灯条款则要另加 1 台 HLG 电源.</t>
        </is>
      </c>
    </row>
    <row r="44" ht="26" customHeight="1">
      <c r="A44" s="14" t="inlineStr">
        <is>
          <t>7. 此 sheet 总价 ~¥3 万, **不计入智能化设备小计**, 是土建预算的一部分.</t>
        </is>
      </c>
    </row>
  </sheetData>
  <mergeCells count="16">
    <mergeCell ref="A35:H35"/>
    <mergeCell ref="A39:K39"/>
    <mergeCell ref="A43:K43"/>
    <mergeCell ref="A38:K38"/>
    <mergeCell ref="A2:K2"/>
    <mergeCell ref="A33:K33"/>
    <mergeCell ref="A41:K41"/>
    <mergeCell ref="A42:K42"/>
    <mergeCell ref="A40:K40"/>
    <mergeCell ref="A5:K5"/>
    <mergeCell ref="A14:K14"/>
    <mergeCell ref="A44:K44"/>
    <mergeCell ref="A1:K1"/>
    <mergeCell ref="A37:K37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2026-05-21T03:48:38Z</dcterms:created>
  <dcterms:modified xsi:type="dcterms:W3CDTF">2026-05-21T06:48:10Z</dcterms:modified>
</cp:coreProperties>
</file>